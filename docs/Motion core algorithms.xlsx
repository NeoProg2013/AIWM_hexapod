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AIWM_hexapod\docs\"/>
    </mc:Choice>
  </mc:AlternateContent>
  <xr:revisionPtr revIDLastSave="0" documentId="13_ncr:1_{435E99E4-F93F-4908-816F-870B72DEA8A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verse kinematic" sheetId="1" r:id="rId1"/>
    <sheet name="Advance trajectory" sheetId="6" r:id="rId2"/>
    <sheet name="Stabilization" sheetId="9" r:id="rId3"/>
    <sheet name="Joystick smooth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20" i="1" l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K33" i="1"/>
  <c r="L33" i="1"/>
  <c r="M33" i="1"/>
  <c r="K34" i="1"/>
  <c r="L34" i="1"/>
  <c r="M34" i="1"/>
  <c r="K35" i="1"/>
  <c r="L35" i="1"/>
  <c r="M35" i="1"/>
  <c r="K36" i="1"/>
  <c r="L36" i="1"/>
  <c r="M36" i="1"/>
  <c r="K37" i="1"/>
  <c r="L37" i="1"/>
  <c r="M37" i="1"/>
  <c r="K38" i="1"/>
  <c r="L38" i="1"/>
  <c r="M38" i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M19" i="1"/>
  <c r="L19" i="1"/>
  <c r="K19" i="1"/>
  <c r="N20" i="1"/>
  <c r="O20" i="1"/>
  <c r="T20" i="1" s="1"/>
  <c r="W20" i="1" s="1"/>
  <c r="P20" i="1"/>
  <c r="AB20" i="1"/>
  <c r="AC20" i="1"/>
  <c r="N21" i="1"/>
  <c r="O21" i="1"/>
  <c r="T21" i="1" s="1"/>
  <c r="W21" i="1" s="1"/>
  <c r="P21" i="1"/>
  <c r="AB21" i="1"/>
  <c r="AC21" i="1"/>
  <c r="N22" i="1"/>
  <c r="O22" i="1"/>
  <c r="T22" i="1" s="1"/>
  <c r="W22" i="1" s="1"/>
  <c r="P22" i="1"/>
  <c r="AB22" i="1"/>
  <c r="AC22" i="1"/>
  <c r="N23" i="1"/>
  <c r="O23" i="1"/>
  <c r="T23" i="1" s="1"/>
  <c r="W23" i="1" s="1"/>
  <c r="P23" i="1"/>
  <c r="AB23" i="1"/>
  <c r="AC23" i="1"/>
  <c r="N24" i="1"/>
  <c r="O24" i="1"/>
  <c r="T24" i="1" s="1"/>
  <c r="W24" i="1" s="1"/>
  <c r="P24" i="1"/>
  <c r="AB24" i="1"/>
  <c r="AC24" i="1"/>
  <c r="N25" i="1"/>
  <c r="O25" i="1"/>
  <c r="T25" i="1" s="1"/>
  <c r="W25" i="1" s="1"/>
  <c r="P25" i="1"/>
  <c r="AB25" i="1"/>
  <c r="AC25" i="1"/>
  <c r="N26" i="1"/>
  <c r="O26" i="1"/>
  <c r="T26" i="1" s="1"/>
  <c r="W26" i="1" s="1"/>
  <c r="P26" i="1"/>
  <c r="AB26" i="1"/>
  <c r="AC26" i="1"/>
  <c r="N27" i="1"/>
  <c r="O27" i="1"/>
  <c r="T27" i="1" s="1"/>
  <c r="W27" i="1" s="1"/>
  <c r="P27" i="1"/>
  <c r="AB27" i="1"/>
  <c r="AC27" i="1"/>
  <c r="N28" i="1"/>
  <c r="O28" i="1"/>
  <c r="T28" i="1" s="1"/>
  <c r="W28" i="1" s="1"/>
  <c r="P28" i="1"/>
  <c r="AB28" i="1"/>
  <c r="AC28" i="1"/>
  <c r="N29" i="1"/>
  <c r="O29" i="1"/>
  <c r="T29" i="1" s="1"/>
  <c r="W29" i="1" s="1"/>
  <c r="P29" i="1"/>
  <c r="AB29" i="1"/>
  <c r="AC29" i="1"/>
  <c r="N30" i="1"/>
  <c r="O30" i="1"/>
  <c r="T30" i="1" s="1"/>
  <c r="W30" i="1" s="1"/>
  <c r="P30" i="1"/>
  <c r="AB30" i="1"/>
  <c r="AC30" i="1"/>
  <c r="N31" i="1"/>
  <c r="O31" i="1"/>
  <c r="T31" i="1" s="1"/>
  <c r="W31" i="1" s="1"/>
  <c r="P31" i="1"/>
  <c r="AB31" i="1"/>
  <c r="AC31" i="1"/>
  <c r="N32" i="1"/>
  <c r="O32" i="1"/>
  <c r="T32" i="1" s="1"/>
  <c r="W32" i="1" s="1"/>
  <c r="P32" i="1"/>
  <c r="AB32" i="1"/>
  <c r="AC32" i="1"/>
  <c r="N33" i="1"/>
  <c r="O33" i="1"/>
  <c r="T33" i="1" s="1"/>
  <c r="W33" i="1" s="1"/>
  <c r="P33" i="1"/>
  <c r="AB33" i="1"/>
  <c r="AC33" i="1"/>
  <c r="N34" i="1"/>
  <c r="O34" i="1"/>
  <c r="T34" i="1" s="1"/>
  <c r="W34" i="1" s="1"/>
  <c r="P34" i="1"/>
  <c r="AB34" i="1"/>
  <c r="AC34" i="1"/>
  <c r="N35" i="1"/>
  <c r="O35" i="1"/>
  <c r="T35" i="1" s="1"/>
  <c r="W35" i="1" s="1"/>
  <c r="P35" i="1"/>
  <c r="AB35" i="1"/>
  <c r="AC35" i="1"/>
  <c r="N36" i="1"/>
  <c r="O36" i="1"/>
  <c r="T36" i="1" s="1"/>
  <c r="W36" i="1" s="1"/>
  <c r="P36" i="1"/>
  <c r="AB36" i="1"/>
  <c r="AC36" i="1"/>
  <c r="N37" i="1"/>
  <c r="O37" i="1"/>
  <c r="T37" i="1" s="1"/>
  <c r="W37" i="1" s="1"/>
  <c r="P37" i="1"/>
  <c r="AB37" i="1"/>
  <c r="AC37" i="1"/>
  <c r="N38" i="1"/>
  <c r="O38" i="1"/>
  <c r="T38" i="1" s="1"/>
  <c r="W38" i="1" s="1"/>
  <c r="P38" i="1"/>
  <c r="AB38" i="1"/>
  <c r="AC38" i="1"/>
  <c r="N39" i="1"/>
  <c r="Q39" i="1" s="1"/>
  <c r="U39" i="1" s="1"/>
  <c r="O39" i="1"/>
  <c r="T39" i="1" s="1"/>
  <c r="W39" i="1" s="1"/>
  <c r="P39" i="1"/>
  <c r="AB39" i="1"/>
  <c r="AC39" i="1"/>
  <c r="N40" i="1"/>
  <c r="O40" i="1"/>
  <c r="T40" i="1" s="1"/>
  <c r="W40" i="1" s="1"/>
  <c r="P40" i="1"/>
  <c r="AB40" i="1"/>
  <c r="AC40" i="1"/>
  <c r="N41" i="1"/>
  <c r="O41" i="1"/>
  <c r="T41" i="1" s="1"/>
  <c r="W41" i="1" s="1"/>
  <c r="P41" i="1"/>
  <c r="AB41" i="1"/>
  <c r="AC41" i="1"/>
  <c r="N42" i="1"/>
  <c r="O42" i="1"/>
  <c r="T42" i="1" s="1"/>
  <c r="W42" i="1" s="1"/>
  <c r="P42" i="1"/>
  <c r="AB42" i="1"/>
  <c r="AC42" i="1"/>
  <c r="N43" i="1"/>
  <c r="O43" i="1"/>
  <c r="T43" i="1" s="1"/>
  <c r="W43" i="1" s="1"/>
  <c r="P43" i="1"/>
  <c r="AB43" i="1"/>
  <c r="AC43" i="1"/>
  <c r="N44" i="1"/>
  <c r="O44" i="1"/>
  <c r="T44" i="1" s="1"/>
  <c r="W44" i="1" s="1"/>
  <c r="P44" i="1"/>
  <c r="AB44" i="1"/>
  <c r="AC44" i="1"/>
  <c r="N45" i="1"/>
  <c r="O45" i="1"/>
  <c r="T45" i="1" s="1"/>
  <c r="W45" i="1" s="1"/>
  <c r="P45" i="1"/>
  <c r="AB45" i="1"/>
  <c r="AC45" i="1"/>
  <c r="N46" i="1"/>
  <c r="O46" i="1"/>
  <c r="T46" i="1" s="1"/>
  <c r="W46" i="1" s="1"/>
  <c r="P46" i="1"/>
  <c r="AB46" i="1"/>
  <c r="AC46" i="1"/>
  <c r="N47" i="1"/>
  <c r="O47" i="1"/>
  <c r="T47" i="1" s="1"/>
  <c r="W47" i="1" s="1"/>
  <c r="P47" i="1"/>
  <c r="AB47" i="1"/>
  <c r="AC47" i="1"/>
  <c r="N48" i="1"/>
  <c r="O48" i="1"/>
  <c r="T48" i="1" s="1"/>
  <c r="W48" i="1" s="1"/>
  <c r="P48" i="1"/>
  <c r="AB48" i="1"/>
  <c r="AC48" i="1"/>
  <c r="N49" i="1"/>
  <c r="O49" i="1"/>
  <c r="T49" i="1" s="1"/>
  <c r="W49" i="1" s="1"/>
  <c r="P49" i="1"/>
  <c r="AB49" i="1"/>
  <c r="AC49" i="1"/>
  <c r="N50" i="1"/>
  <c r="O50" i="1"/>
  <c r="T50" i="1" s="1"/>
  <c r="W50" i="1" s="1"/>
  <c r="P50" i="1"/>
  <c r="AB50" i="1"/>
  <c r="AC50" i="1"/>
  <c r="N51" i="1"/>
  <c r="O51" i="1"/>
  <c r="T51" i="1" s="1"/>
  <c r="W51" i="1" s="1"/>
  <c r="P51" i="1"/>
  <c r="AB51" i="1"/>
  <c r="AC51" i="1"/>
  <c r="N52" i="1"/>
  <c r="O52" i="1"/>
  <c r="T52" i="1" s="1"/>
  <c r="W52" i="1" s="1"/>
  <c r="P52" i="1"/>
  <c r="AB52" i="1"/>
  <c r="AC52" i="1"/>
  <c r="N53" i="1"/>
  <c r="O53" i="1"/>
  <c r="T53" i="1" s="1"/>
  <c r="W53" i="1" s="1"/>
  <c r="P53" i="1"/>
  <c r="AB53" i="1"/>
  <c r="AC53" i="1"/>
  <c r="N54" i="1"/>
  <c r="O54" i="1"/>
  <c r="T54" i="1" s="1"/>
  <c r="W54" i="1" s="1"/>
  <c r="P54" i="1"/>
  <c r="AB54" i="1"/>
  <c r="AC54" i="1"/>
  <c r="N55" i="1"/>
  <c r="O55" i="1"/>
  <c r="T55" i="1" s="1"/>
  <c r="W55" i="1" s="1"/>
  <c r="P55" i="1"/>
  <c r="Q55" i="1" s="1"/>
  <c r="AB55" i="1"/>
  <c r="AC55" i="1"/>
  <c r="N56" i="1"/>
  <c r="O56" i="1"/>
  <c r="T56" i="1" s="1"/>
  <c r="W56" i="1" s="1"/>
  <c r="P56" i="1"/>
  <c r="AB56" i="1"/>
  <c r="AC56" i="1"/>
  <c r="N57" i="1"/>
  <c r="O57" i="1"/>
  <c r="T57" i="1" s="1"/>
  <c r="W57" i="1" s="1"/>
  <c r="P57" i="1"/>
  <c r="AB57" i="1"/>
  <c r="AC57" i="1"/>
  <c r="N58" i="1"/>
  <c r="O58" i="1"/>
  <c r="T58" i="1" s="1"/>
  <c r="W58" i="1" s="1"/>
  <c r="P58" i="1"/>
  <c r="AB58" i="1"/>
  <c r="AC58" i="1"/>
  <c r="N59" i="1"/>
  <c r="O59" i="1"/>
  <c r="T59" i="1" s="1"/>
  <c r="W59" i="1" s="1"/>
  <c r="P59" i="1"/>
  <c r="AB59" i="1"/>
  <c r="AC59" i="1"/>
  <c r="N60" i="1"/>
  <c r="O60" i="1"/>
  <c r="T60" i="1" s="1"/>
  <c r="W60" i="1" s="1"/>
  <c r="P60" i="1"/>
  <c r="AB60" i="1"/>
  <c r="AC60" i="1"/>
  <c r="N61" i="1"/>
  <c r="O61" i="1"/>
  <c r="T61" i="1" s="1"/>
  <c r="W61" i="1" s="1"/>
  <c r="P61" i="1"/>
  <c r="AB61" i="1"/>
  <c r="AC61" i="1"/>
  <c r="N62" i="1"/>
  <c r="O62" i="1"/>
  <c r="T62" i="1" s="1"/>
  <c r="W62" i="1" s="1"/>
  <c r="P62" i="1"/>
  <c r="AB62" i="1"/>
  <c r="AC62" i="1"/>
  <c r="N63" i="1"/>
  <c r="O63" i="1"/>
  <c r="T63" i="1" s="1"/>
  <c r="W63" i="1" s="1"/>
  <c r="P63" i="1"/>
  <c r="AB63" i="1"/>
  <c r="AC63" i="1"/>
  <c r="N64" i="1"/>
  <c r="O64" i="1"/>
  <c r="T64" i="1" s="1"/>
  <c r="P64" i="1"/>
  <c r="W64" i="1"/>
  <c r="AB64" i="1"/>
  <c r="AC64" i="1"/>
  <c r="N65" i="1"/>
  <c r="O65" i="1"/>
  <c r="T65" i="1" s="1"/>
  <c r="W65" i="1" s="1"/>
  <c r="P65" i="1"/>
  <c r="AB65" i="1"/>
  <c r="AC65" i="1"/>
  <c r="N66" i="1"/>
  <c r="O66" i="1"/>
  <c r="T66" i="1" s="1"/>
  <c r="W66" i="1" s="1"/>
  <c r="P66" i="1"/>
  <c r="AB66" i="1"/>
  <c r="AC66" i="1"/>
  <c r="N67" i="1"/>
  <c r="O67" i="1"/>
  <c r="T67" i="1" s="1"/>
  <c r="W67" i="1" s="1"/>
  <c r="P67" i="1"/>
  <c r="AB67" i="1"/>
  <c r="AC67" i="1"/>
  <c r="N68" i="1"/>
  <c r="O68" i="1"/>
  <c r="T68" i="1" s="1"/>
  <c r="W68" i="1" s="1"/>
  <c r="P68" i="1"/>
  <c r="AB68" i="1"/>
  <c r="AC68" i="1"/>
  <c r="N69" i="1"/>
  <c r="O69" i="1"/>
  <c r="T69" i="1" s="1"/>
  <c r="W69" i="1" s="1"/>
  <c r="P69" i="1"/>
  <c r="AB69" i="1"/>
  <c r="AC69" i="1"/>
  <c r="N70" i="1"/>
  <c r="O70" i="1"/>
  <c r="T70" i="1" s="1"/>
  <c r="W70" i="1" s="1"/>
  <c r="P70" i="1"/>
  <c r="AB70" i="1"/>
  <c r="AC70" i="1"/>
  <c r="N71" i="1"/>
  <c r="O71" i="1"/>
  <c r="T71" i="1" s="1"/>
  <c r="W71" i="1" s="1"/>
  <c r="P71" i="1"/>
  <c r="AB71" i="1"/>
  <c r="AC71" i="1"/>
  <c r="N72" i="1"/>
  <c r="O72" i="1"/>
  <c r="T72" i="1" s="1"/>
  <c r="W72" i="1" s="1"/>
  <c r="P72" i="1"/>
  <c r="AB72" i="1"/>
  <c r="AC72" i="1"/>
  <c r="N73" i="1"/>
  <c r="O73" i="1"/>
  <c r="T73" i="1" s="1"/>
  <c r="W73" i="1" s="1"/>
  <c r="P73" i="1"/>
  <c r="AB73" i="1"/>
  <c r="AC73" i="1"/>
  <c r="N74" i="1"/>
  <c r="O74" i="1"/>
  <c r="T74" i="1" s="1"/>
  <c r="W74" i="1" s="1"/>
  <c r="P74" i="1"/>
  <c r="AB74" i="1"/>
  <c r="AC74" i="1"/>
  <c r="N75" i="1"/>
  <c r="O75" i="1"/>
  <c r="T75" i="1" s="1"/>
  <c r="W75" i="1" s="1"/>
  <c r="P75" i="1"/>
  <c r="AB75" i="1"/>
  <c r="AC75" i="1"/>
  <c r="N76" i="1"/>
  <c r="O76" i="1"/>
  <c r="T76" i="1" s="1"/>
  <c r="W76" i="1" s="1"/>
  <c r="P76" i="1"/>
  <c r="AB76" i="1"/>
  <c r="AC76" i="1"/>
  <c r="N77" i="1"/>
  <c r="O77" i="1"/>
  <c r="T77" i="1" s="1"/>
  <c r="W77" i="1" s="1"/>
  <c r="P77" i="1"/>
  <c r="AB77" i="1"/>
  <c r="AC77" i="1"/>
  <c r="N78" i="1"/>
  <c r="O78" i="1"/>
  <c r="T78" i="1" s="1"/>
  <c r="W78" i="1" s="1"/>
  <c r="P78" i="1"/>
  <c r="AB78" i="1"/>
  <c r="AC78" i="1"/>
  <c r="N79" i="1"/>
  <c r="O79" i="1"/>
  <c r="T79" i="1" s="1"/>
  <c r="W79" i="1" s="1"/>
  <c r="P79" i="1"/>
  <c r="AB79" i="1"/>
  <c r="AC79" i="1"/>
  <c r="N80" i="1"/>
  <c r="O80" i="1"/>
  <c r="T80" i="1" s="1"/>
  <c r="W80" i="1" s="1"/>
  <c r="P80" i="1"/>
  <c r="AB80" i="1"/>
  <c r="AC80" i="1"/>
  <c r="N81" i="1"/>
  <c r="O81" i="1"/>
  <c r="T81" i="1" s="1"/>
  <c r="W81" i="1" s="1"/>
  <c r="P81" i="1"/>
  <c r="AB81" i="1"/>
  <c r="AC81" i="1"/>
  <c r="N82" i="1"/>
  <c r="O82" i="1"/>
  <c r="T82" i="1" s="1"/>
  <c r="W82" i="1" s="1"/>
  <c r="P82" i="1"/>
  <c r="AB82" i="1"/>
  <c r="AC82" i="1"/>
  <c r="N83" i="1"/>
  <c r="Q83" i="1" s="1"/>
  <c r="R83" i="1" s="1"/>
  <c r="H83" i="1" s="1"/>
  <c r="O83" i="1"/>
  <c r="T83" i="1" s="1"/>
  <c r="W83" i="1" s="1"/>
  <c r="P83" i="1"/>
  <c r="AB83" i="1"/>
  <c r="AC83" i="1"/>
  <c r="N84" i="1"/>
  <c r="O84" i="1"/>
  <c r="T84" i="1" s="1"/>
  <c r="W84" i="1" s="1"/>
  <c r="P84" i="1"/>
  <c r="AB84" i="1"/>
  <c r="AC84" i="1"/>
  <c r="N85" i="1"/>
  <c r="O85" i="1"/>
  <c r="T85" i="1" s="1"/>
  <c r="W85" i="1" s="1"/>
  <c r="P85" i="1"/>
  <c r="AB85" i="1"/>
  <c r="AC85" i="1"/>
  <c r="N86" i="1"/>
  <c r="O86" i="1"/>
  <c r="T86" i="1" s="1"/>
  <c r="W86" i="1" s="1"/>
  <c r="P86" i="1"/>
  <c r="AB86" i="1"/>
  <c r="AC86" i="1"/>
  <c r="N87" i="1"/>
  <c r="O87" i="1"/>
  <c r="T87" i="1" s="1"/>
  <c r="W87" i="1" s="1"/>
  <c r="P87" i="1"/>
  <c r="AB87" i="1"/>
  <c r="AC87" i="1"/>
  <c r="N88" i="1"/>
  <c r="O88" i="1"/>
  <c r="T88" i="1" s="1"/>
  <c r="W88" i="1" s="1"/>
  <c r="P88" i="1"/>
  <c r="AB88" i="1"/>
  <c r="AC88" i="1"/>
  <c r="N89" i="1"/>
  <c r="O89" i="1"/>
  <c r="T89" i="1" s="1"/>
  <c r="W89" i="1" s="1"/>
  <c r="P89" i="1"/>
  <c r="AB89" i="1"/>
  <c r="AC89" i="1"/>
  <c r="N90" i="1"/>
  <c r="O90" i="1"/>
  <c r="T90" i="1" s="1"/>
  <c r="W90" i="1" s="1"/>
  <c r="P90" i="1"/>
  <c r="AB90" i="1"/>
  <c r="AC90" i="1"/>
  <c r="N91" i="1"/>
  <c r="O91" i="1"/>
  <c r="T91" i="1" s="1"/>
  <c r="W91" i="1" s="1"/>
  <c r="P91" i="1"/>
  <c r="AB91" i="1"/>
  <c r="AC91" i="1"/>
  <c r="N92" i="1"/>
  <c r="O92" i="1"/>
  <c r="T92" i="1" s="1"/>
  <c r="W92" i="1" s="1"/>
  <c r="P92" i="1"/>
  <c r="AB92" i="1"/>
  <c r="AC92" i="1"/>
  <c r="N93" i="1"/>
  <c r="O93" i="1"/>
  <c r="T93" i="1" s="1"/>
  <c r="W93" i="1" s="1"/>
  <c r="P93" i="1"/>
  <c r="AB93" i="1"/>
  <c r="AC93" i="1"/>
  <c r="N94" i="1"/>
  <c r="O94" i="1"/>
  <c r="T94" i="1" s="1"/>
  <c r="W94" i="1" s="1"/>
  <c r="P94" i="1"/>
  <c r="AB94" i="1"/>
  <c r="AC94" i="1"/>
  <c r="N95" i="1"/>
  <c r="O95" i="1"/>
  <c r="T95" i="1" s="1"/>
  <c r="W95" i="1" s="1"/>
  <c r="P95" i="1"/>
  <c r="AB95" i="1"/>
  <c r="AC95" i="1"/>
  <c r="N96" i="1"/>
  <c r="O96" i="1"/>
  <c r="T96" i="1" s="1"/>
  <c r="W96" i="1" s="1"/>
  <c r="P96" i="1"/>
  <c r="AB96" i="1"/>
  <c r="AC96" i="1"/>
  <c r="N97" i="1"/>
  <c r="O97" i="1"/>
  <c r="T97" i="1" s="1"/>
  <c r="W97" i="1" s="1"/>
  <c r="P97" i="1"/>
  <c r="AB97" i="1"/>
  <c r="AC97" i="1"/>
  <c r="N98" i="1"/>
  <c r="O98" i="1"/>
  <c r="T98" i="1" s="1"/>
  <c r="W98" i="1" s="1"/>
  <c r="P98" i="1"/>
  <c r="AB98" i="1"/>
  <c r="AC98" i="1"/>
  <c r="N99" i="1"/>
  <c r="O99" i="1"/>
  <c r="T99" i="1" s="1"/>
  <c r="W99" i="1" s="1"/>
  <c r="P99" i="1"/>
  <c r="AB99" i="1"/>
  <c r="AC99" i="1"/>
  <c r="N100" i="1"/>
  <c r="O100" i="1"/>
  <c r="P100" i="1"/>
  <c r="T100" i="1"/>
  <c r="W100" i="1" s="1"/>
  <c r="AB100" i="1"/>
  <c r="AC100" i="1"/>
  <c r="N101" i="1"/>
  <c r="O101" i="1"/>
  <c r="T101" i="1" s="1"/>
  <c r="W101" i="1" s="1"/>
  <c r="P101" i="1"/>
  <c r="AB101" i="1"/>
  <c r="AC101" i="1"/>
  <c r="N102" i="1"/>
  <c r="O102" i="1"/>
  <c r="T102" i="1" s="1"/>
  <c r="W102" i="1" s="1"/>
  <c r="P102" i="1"/>
  <c r="AB102" i="1"/>
  <c r="AC102" i="1"/>
  <c r="N103" i="1"/>
  <c r="O103" i="1"/>
  <c r="T103" i="1" s="1"/>
  <c r="P103" i="1"/>
  <c r="W103" i="1"/>
  <c r="AB103" i="1"/>
  <c r="AC103" i="1"/>
  <c r="N104" i="1"/>
  <c r="O104" i="1"/>
  <c r="T104" i="1" s="1"/>
  <c r="W104" i="1" s="1"/>
  <c r="P104" i="1"/>
  <c r="AB104" i="1"/>
  <c r="AC104" i="1"/>
  <c r="N105" i="1"/>
  <c r="O105" i="1"/>
  <c r="T105" i="1" s="1"/>
  <c r="W105" i="1" s="1"/>
  <c r="P105" i="1"/>
  <c r="AB105" i="1"/>
  <c r="AC105" i="1"/>
  <c r="N106" i="1"/>
  <c r="O106" i="1"/>
  <c r="T106" i="1" s="1"/>
  <c r="W106" i="1" s="1"/>
  <c r="P106" i="1"/>
  <c r="AB106" i="1"/>
  <c r="AC106" i="1"/>
  <c r="N107" i="1"/>
  <c r="O107" i="1"/>
  <c r="T107" i="1" s="1"/>
  <c r="W107" i="1" s="1"/>
  <c r="P107" i="1"/>
  <c r="AB107" i="1"/>
  <c r="AC107" i="1"/>
  <c r="N108" i="1"/>
  <c r="O108" i="1"/>
  <c r="T108" i="1" s="1"/>
  <c r="W108" i="1" s="1"/>
  <c r="P108" i="1"/>
  <c r="AB108" i="1"/>
  <c r="AC108" i="1"/>
  <c r="N109" i="1"/>
  <c r="O109" i="1"/>
  <c r="T109" i="1" s="1"/>
  <c r="W109" i="1" s="1"/>
  <c r="P109" i="1"/>
  <c r="AB109" i="1"/>
  <c r="AC109" i="1"/>
  <c r="N110" i="1"/>
  <c r="O110" i="1"/>
  <c r="T110" i="1" s="1"/>
  <c r="W110" i="1" s="1"/>
  <c r="P110" i="1"/>
  <c r="AB110" i="1"/>
  <c r="AC110" i="1"/>
  <c r="N111" i="1"/>
  <c r="O111" i="1"/>
  <c r="T111" i="1" s="1"/>
  <c r="W111" i="1" s="1"/>
  <c r="P111" i="1"/>
  <c r="AB111" i="1"/>
  <c r="AC111" i="1"/>
  <c r="N112" i="1"/>
  <c r="O112" i="1"/>
  <c r="T112" i="1" s="1"/>
  <c r="W112" i="1" s="1"/>
  <c r="P112" i="1"/>
  <c r="AB112" i="1"/>
  <c r="AC112" i="1"/>
  <c r="N113" i="1"/>
  <c r="O113" i="1"/>
  <c r="T113" i="1" s="1"/>
  <c r="W113" i="1" s="1"/>
  <c r="P113" i="1"/>
  <c r="AB113" i="1"/>
  <c r="AC113" i="1"/>
  <c r="N114" i="1"/>
  <c r="O114" i="1"/>
  <c r="T114" i="1" s="1"/>
  <c r="W114" i="1" s="1"/>
  <c r="P114" i="1"/>
  <c r="AB114" i="1"/>
  <c r="AC114" i="1"/>
  <c r="N115" i="1"/>
  <c r="O115" i="1"/>
  <c r="T115" i="1" s="1"/>
  <c r="W115" i="1" s="1"/>
  <c r="P115" i="1"/>
  <c r="AB115" i="1"/>
  <c r="AC115" i="1"/>
  <c r="N116" i="1"/>
  <c r="O116" i="1"/>
  <c r="T116" i="1" s="1"/>
  <c r="W116" i="1" s="1"/>
  <c r="P116" i="1"/>
  <c r="AB116" i="1"/>
  <c r="AC116" i="1"/>
  <c r="N117" i="1"/>
  <c r="O117" i="1"/>
  <c r="T117" i="1" s="1"/>
  <c r="W117" i="1" s="1"/>
  <c r="P117" i="1"/>
  <c r="AB117" i="1"/>
  <c r="AC117" i="1"/>
  <c r="N118" i="1"/>
  <c r="O118" i="1"/>
  <c r="T118" i="1" s="1"/>
  <c r="W118" i="1" s="1"/>
  <c r="P118" i="1"/>
  <c r="AB118" i="1"/>
  <c r="AC118" i="1"/>
  <c r="N119" i="1"/>
  <c r="Q119" i="1" s="1"/>
  <c r="R119" i="1" s="1"/>
  <c r="H119" i="1" s="1"/>
  <c r="O119" i="1"/>
  <c r="T119" i="1" s="1"/>
  <c r="W119" i="1" s="1"/>
  <c r="P119" i="1"/>
  <c r="AB119" i="1"/>
  <c r="AC119" i="1"/>
  <c r="N120" i="1"/>
  <c r="O120" i="1"/>
  <c r="T120" i="1" s="1"/>
  <c r="P120" i="1"/>
  <c r="W120" i="1"/>
  <c r="AB120" i="1"/>
  <c r="AC120" i="1"/>
  <c r="N121" i="1"/>
  <c r="O121" i="1"/>
  <c r="P121" i="1"/>
  <c r="T121" i="1"/>
  <c r="W121" i="1" s="1"/>
  <c r="AB121" i="1"/>
  <c r="AC121" i="1"/>
  <c r="N122" i="1"/>
  <c r="O122" i="1"/>
  <c r="T122" i="1" s="1"/>
  <c r="W122" i="1" s="1"/>
  <c r="P122" i="1"/>
  <c r="AB122" i="1"/>
  <c r="AC122" i="1"/>
  <c r="N123" i="1"/>
  <c r="O123" i="1"/>
  <c r="T123" i="1" s="1"/>
  <c r="W123" i="1" s="1"/>
  <c r="P123" i="1"/>
  <c r="AB123" i="1"/>
  <c r="AC123" i="1"/>
  <c r="N124" i="1"/>
  <c r="O124" i="1"/>
  <c r="T124" i="1" s="1"/>
  <c r="W124" i="1" s="1"/>
  <c r="P124" i="1"/>
  <c r="AB124" i="1"/>
  <c r="AC124" i="1"/>
  <c r="N125" i="1"/>
  <c r="O125" i="1"/>
  <c r="T125" i="1" s="1"/>
  <c r="W125" i="1" s="1"/>
  <c r="P125" i="1"/>
  <c r="AB125" i="1"/>
  <c r="AC125" i="1"/>
  <c r="N126" i="1"/>
  <c r="O126" i="1"/>
  <c r="T126" i="1" s="1"/>
  <c r="W126" i="1" s="1"/>
  <c r="P126" i="1"/>
  <c r="Q126" i="1" s="1"/>
  <c r="U126" i="1" s="1"/>
  <c r="AB126" i="1"/>
  <c r="AC126" i="1"/>
  <c r="N127" i="1"/>
  <c r="O127" i="1"/>
  <c r="T127" i="1" s="1"/>
  <c r="W127" i="1" s="1"/>
  <c r="P127" i="1"/>
  <c r="AB127" i="1"/>
  <c r="AC127" i="1"/>
  <c r="N128" i="1"/>
  <c r="Q128" i="1" s="1"/>
  <c r="R128" i="1" s="1"/>
  <c r="H128" i="1" s="1"/>
  <c r="O128" i="1"/>
  <c r="T128" i="1" s="1"/>
  <c r="W128" i="1" s="1"/>
  <c r="P128" i="1"/>
  <c r="AB128" i="1"/>
  <c r="AC128" i="1"/>
  <c r="N129" i="1"/>
  <c r="Q129" i="1" s="1"/>
  <c r="R129" i="1" s="1"/>
  <c r="H129" i="1" s="1"/>
  <c r="O129" i="1"/>
  <c r="T129" i="1" s="1"/>
  <c r="W129" i="1" s="1"/>
  <c r="P129" i="1"/>
  <c r="AB129" i="1"/>
  <c r="AC129" i="1"/>
  <c r="N130" i="1"/>
  <c r="O130" i="1"/>
  <c r="T130" i="1" s="1"/>
  <c r="W130" i="1" s="1"/>
  <c r="P130" i="1"/>
  <c r="AB130" i="1"/>
  <c r="AC130" i="1"/>
  <c r="N131" i="1"/>
  <c r="O131" i="1"/>
  <c r="T131" i="1" s="1"/>
  <c r="W131" i="1" s="1"/>
  <c r="P131" i="1"/>
  <c r="AB131" i="1"/>
  <c r="AC131" i="1"/>
  <c r="N132" i="1"/>
  <c r="O132" i="1"/>
  <c r="T132" i="1" s="1"/>
  <c r="W132" i="1" s="1"/>
  <c r="P132" i="1"/>
  <c r="AB132" i="1"/>
  <c r="AC132" i="1"/>
  <c r="N133" i="1"/>
  <c r="O133" i="1"/>
  <c r="T133" i="1" s="1"/>
  <c r="W133" i="1" s="1"/>
  <c r="P133" i="1"/>
  <c r="AB133" i="1"/>
  <c r="AC133" i="1"/>
  <c r="N134" i="1"/>
  <c r="O134" i="1"/>
  <c r="T134" i="1" s="1"/>
  <c r="W134" i="1" s="1"/>
  <c r="P134" i="1"/>
  <c r="AB134" i="1"/>
  <c r="AC134" i="1"/>
  <c r="N135" i="1"/>
  <c r="O135" i="1"/>
  <c r="T135" i="1" s="1"/>
  <c r="W135" i="1" s="1"/>
  <c r="P135" i="1"/>
  <c r="AB135" i="1"/>
  <c r="AC135" i="1"/>
  <c r="N136" i="1"/>
  <c r="O136" i="1"/>
  <c r="T136" i="1" s="1"/>
  <c r="W136" i="1" s="1"/>
  <c r="P136" i="1"/>
  <c r="AB136" i="1"/>
  <c r="AC136" i="1"/>
  <c r="N137" i="1"/>
  <c r="O137" i="1"/>
  <c r="T137" i="1" s="1"/>
  <c r="W137" i="1" s="1"/>
  <c r="P137" i="1"/>
  <c r="AB137" i="1"/>
  <c r="AC137" i="1"/>
  <c r="N138" i="1"/>
  <c r="O138" i="1"/>
  <c r="T138" i="1" s="1"/>
  <c r="W138" i="1" s="1"/>
  <c r="P138" i="1"/>
  <c r="AB138" i="1"/>
  <c r="AC138" i="1"/>
  <c r="N139" i="1"/>
  <c r="O139" i="1"/>
  <c r="T139" i="1" s="1"/>
  <c r="W139" i="1" s="1"/>
  <c r="P139" i="1"/>
  <c r="AB139" i="1"/>
  <c r="AC139" i="1"/>
  <c r="N140" i="1"/>
  <c r="O140" i="1"/>
  <c r="T140" i="1" s="1"/>
  <c r="W140" i="1" s="1"/>
  <c r="P140" i="1"/>
  <c r="AB140" i="1"/>
  <c r="AC140" i="1"/>
  <c r="N141" i="1"/>
  <c r="O141" i="1"/>
  <c r="T141" i="1" s="1"/>
  <c r="W141" i="1" s="1"/>
  <c r="P141" i="1"/>
  <c r="AB141" i="1"/>
  <c r="AC141" i="1"/>
  <c r="N142" i="1"/>
  <c r="O142" i="1"/>
  <c r="T142" i="1" s="1"/>
  <c r="W142" i="1" s="1"/>
  <c r="P142" i="1"/>
  <c r="AB142" i="1"/>
  <c r="AC142" i="1"/>
  <c r="N143" i="1"/>
  <c r="O143" i="1"/>
  <c r="T143" i="1" s="1"/>
  <c r="W143" i="1" s="1"/>
  <c r="P143" i="1"/>
  <c r="AB143" i="1"/>
  <c r="AC143" i="1"/>
  <c r="N144" i="1"/>
  <c r="O144" i="1"/>
  <c r="T144" i="1" s="1"/>
  <c r="W144" i="1" s="1"/>
  <c r="P144" i="1"/>
  <c r="AB144" i="1"/>
  <c r="AC144" i="1"/>
  <c r="N145" i="1"/>
  <c r="O145" i="1"/>
  <c r="T145" i="1" s="1"/>
  <c r="W145" i="1" s="1"/>
  <c r="P145" i="1"/>
  <c r="AB145" i="1"/>
  <c r="AC145" i="1"/>
  <c r="N146" i="1"/>
  <c r="O146" i="1"/>
  <c r="T146" i="1" s="1"/>
  <c r="W146" i="1" s="1"/>
  <c r="P146" i="1"/>
  <c r="AB146" i="1"/>
  <c r="AC146" i="1"/>
  <c r="N147" i="1"/>
  <c r="O147" i="1"/>
  <c r="T147" i="1" s="1"/>
  <c r="W147" i="1" s="1"/>
  <c r="P147" i="1"/>
  <c r="AB147" i="1"/>
  <c r="AC147" i="1"/>
  <c r="N148" i="1"/>
  <c r="O148" i="1"/>
  <c r="T148" i="1" s="1"/>
  <c r="W148" i="1" s="1"/>
  <c r="P148" i="1"/>
  <c r="AB148" i="1"/>
  <c r="AC148" i="1"/>
  <c r="N149" i="1"/>
  <c r="O149" i="1"/>
  <c r="T149" i="1" s="1"/>
  <c r="W149" i="1" s="1"/>
  <c r="P149" i="1"/>
  <c r="AB149" i="1"/>
  <c r="AC149" i="1"/>
  <c r="N150" i="1"/>
  <c r="O150" i="1"/>
  <c r="T150" i="1" s="1"/>
  <c r="W150" i="1" s="1"/>
  <c r="P150" i="1"/>
  <c r="AB150" i="1"/>
  <c r="AC150" i="1"/>
  <c r="N151" i="1"/>
  <c r="O151" i="1"/>
  <c r="T151" i="1" s="1"/>
  <c r="W151" i="1" s="1"/>
  <c r="P151" i="1"/>
  <c r="AB151" i="1"/>
  <c r="AC151" i="1"/>
  <c r="N152" i="1"/>
  <c r="O152" i="1"/>
  <c r="T152" i="1" s="1"/>
  <c r="W152" i="1" s="1"/>
  <c r="P152" i="1"/>
  <c r="AB152" i="1"/>
  <c r="AC152" i="1"/>
  <c r="N153" i="1"/>
  <c r="O153" i="1"/>
  <c r="T153" i="1" s="1"/>
  <c r="W153" i="1" s="1"/>
  <c r="P153" i="1"/>
  <c r="AB153" i="1"/>
  <c r="AC153" i="1"/>
  <c r="N154" i="1"/>
  <c r="O154" i="1"/>
  <c r="T154" i="1" s="1"/>
  <c r="W154" i="1" s="1"/>
  <c r="P154" i="1"/>
  <c r="AB154" i="1"/>
  <c r="AC154" i="1"/>
  <c r="N155" i="1"/>
  <c r="O155" i="1"/>
  <c r="T155" i="1" s="1"/>
  <c r="W155" i="1" s="1"/>
  <c r="P155" i="1"/>
  <c r="AB155" i="1"/>
  <c r="AC155" i="1"/>
  <c r="N156" i="1"/>
  <c r="O156" i="1"/>
  <c r="T156" i="1" s="1"/>
  <c r="W156" i="1" s="1"/>
  <c r="P156" i="1"/>
  <c r="AB156" i="1"/>
  <c r="AC156" i="1"/>
  <c r="N157" i="1"/>
  <c r="O157" i="1"/>
  <c r="T157" i="1" s="1"/>
  <c r="W157" i="1" s="1"/>
  <c r="P157" i="1"/>
  <c r="AB157" i="1"/>
  <c r="AC157" i="1"/>
  <c r="N158" i="1"/>
  <c r="O158" i="1"/>
  <c r="T158" i="1" s="1"/>
  <c r="W158" i="1" s="1"/>
  <c r="P158" i="1"/>
  <c r="AB158" i="1"/>
  <c r="AC158" i="1"/>
  <c r="N159" i="1"/>
  <c r="O159" i="1"/>
  <c r="T159" i="1" s="1"/>
  <c r="W159" i="1" s="1"/>
  <c r="P159" i="1"/>
  <c r="AB159" i="1"/>
  <c r="AC159" i="1"/>
  <c r="N160" i="1"/>
  <c r="O160" i="1"/>
  <c r="T160" i="1" s="1"/>
  <c r="W160" i="1" s="1"/>
  <c r="P160" i="1"/>
  <c r="AB160" i="1"/>
  <c r="AC160" i="1"/>
  <c r="N161" i="1"/>
  <c r="O161" i="1"/>
  <c r="T161" i="1" s="1"/>
  <c r="W161" i="1" s="1"/>
  <c r="P161" i="1"/>
  <c r="AB161" i="1"/>
  <c r="AC161" i="1"/>
  <c r="N162" i="1"/>
  <c r="O162" i="1"/>
  <c r="T162" i="1" s="1"/>
  <c r="W162" i="1" s="1"/>
  <c r="P162" i="1"/>
  <c r="AB162" i="1"/>
  <c r="AC162" i="1"/>
  <c r="N163" i="1"/>
  <c r="O163" i="1"/>
  <c r="T163" i="1" s="1"/>
  <c r="W163" i="1" s="1"/>
  <c r="P163" i="1"/>
  <c r="AB163" i="1"/>
  <c r="AC163" i="1"/>
  <c r="N164" i="1"/>
  <c r="O164" i="1"/>
  <c r="T164" i="1" s="1"/>
  <c r="W164" i="1" s="1"/>
  <c r="P164" i="1"/>
  <c r="AB164" i="1"/>
  <c r="AC164" i="1"/>
  <c r="N165" i="1"/>
  <c r="O165" i="1"/>
  <c r="T165" i="1" s="1"/>
  <c r="W165" i="1" s="1"/>
  <c r="P165" i="1"/>
  <c r="AB165" i="1"/>
  <c r="AC165" i="1"/>
  <c r="N166" i="1"/>
  <c r="O166" i="1"/>
  <c r="P166" i="1"/>
  <c r="T166" i="1"/>
  <c r="W166" i="1" s="1"/>
  <c r="AB166" i="1"/>
  <c r="AC166" i="1"/>
  <c r="N167" i="1"/>
  <c r="O167" i="1"/>
  <c r="T167" i="1" s="1"/>
  <c r="W167" i="1" s="1"/>
  <c r="P167" i="1"/>
  <c r="AB167" i="1"/>
  <c r="AC167" i="1"/>
  <c r="N168" i="1"/>
  <c r="O168" i="1"/>
  <c r="T168" i="1" s="1"/>
  <c r="W168" i="1" s="1"/>
  <c r="P168" i="1"/>
  <c r="AB168" i="1"/>
  <c r="AC168" i="1"/>
  <c r="N169" i="1"/>
  <c r="O169" i="1"/>
  <c r="T169" i="1" s="1"/>
  <c r="W169" i="1" s="1"/>
  <c r="P169" i="1"/>
  <c r="AB169" i="1"/>
  <c r="AC169" i="1"/>
  <c r="N170" i="1"/>
  <c r="O170" i="1"/>
  <c r="T170" i="1" s="1"/>
  <c r="W170" i="1" s="1"/>
  <c r="P170" i="1"/>
  <c r="AB170" i="1"/>
  <c r="AC170" i="1"/>
  <c r="N171" i="1"/>
  <c r="O171" i="1"/>
  <c r="T171" i="1" s="1"/>
  <c r="W171" i="1" s="1"/>
  <c r="P171" i="1"/>
  <c r="AB171" i="1"/>
  <c r="AC171" i="1"/>
  <c r="N172" i="1"/>
  <c r="O172" i="1"/>
  <c r="P172" i="1"/>
  <c r="T172" i="1"/>
  <c r="W172" i="1" s="1"/>
  <c r="AB172" i="1"/>
  <c r="AC172" i="1"/>
  <c r="N173" i="1"/>
  <c r="O173" i="1"/>
  <c r="T173" i="1" s="1"/>
  <c r="W173" i="1" s="1"/>
  <c r="P173" i="1"/>
  <c r="AB173" i="1"/>
  <c r="AC173" i="1"/>
  <c r="N174" i="1"/>
  <c r="O174" i="1"/>
  <c r="T174" i="1" s="1"/>
  <c r="W174" i="1" s="1"/>
  <c r="P174" i="1"/>
  <c r="AB174" i="1"/>
  <c r="AC174" i="1"/>
  <c r="N175" i="1"/>
  <c r="O175" i="1"/>
  <c r="T175" i="1" s="1"/>
  <c r="W175" i="1" s="1"/>
  <c r="P175" i="1"/>
  <c r="AB175" i="1"/>
  <c r="AC175" i="1"/>
  <c r="N176" i="1"/>
  <c r="O176" i="1"/>
  <c r="T176" i="1" s="1"/>
  <c r="W176" i="1" s="1"/>
  <c r="P176" i="1"/>
  <c r="AB176" i="1"/>
  <c r="AC176" i="1"/>
  <c r="N177" i="1"/>
  <c r="O177" i="1"/>
  <c r="T177" i="1" s="1"/>
  <c r="W177" i="1" s="1"/>
  <c r="P177" i="1"/>
  <c r="AB177" i="1"/>
  <c r="AC177" i="1"/>
  <c r="N178" i="1"/>
  <c r="O178" i="1"/>
  <c r="T178" i="1" s="1"/>
  <c r="W178" i="1" s="1"/>
  <c r="P178" i="1"/>
  <c r="AB178" i="1"/>
  <c r="AC178" i="1"/>
  <c r="AC19" i="1"/>
  <c r="AB19" i="1"/>
  <c r="P19" i="1"/>
  <c r="O19" i="1"/>
  <c r="T19" i="1" s="1"/>
  <c r="W19" i="1" s="1"/>
  <c r="N19" i="1"/>
  <c r="E4" i="1"/>
  <c r="C6" i="9"/>
  <c r="D6" i="9"/>
  <c r="E6" i="9"/>
  <c r="E7" i="9" s="1"/>
  <c r="Q171" i="1" l="1"/>
  <c r="R171" i="1" s="1"/>
  <c r="H171" i="1" s="1"/>
  <c r="Q136" i="1"/>
  <c r="S136" i="1" s="1"/>
  <c r="V136" i="1" s="1"/>
  <c r="Q111" i="1"/>
  <c r="R111" i="1" s="1"/>
  <c r="H111" i="1" s="1"/>
  <c r="Q114" i="1"/>
  <c r="R114" i="1" s="1"/>
  <c r="H114" i="1" s="1"/>
  <c r="Q142" i="1"/>
  <c r="R142" i="1" s="1"/>
  <c r="H142" i="1" s="1"/>
  <c r="Q104" i="1"/>
  <c r="R104" i="1" s="1"/>
  <c r="H104" i="1" s="1"/>
  <c r="Q48" i="1"/>
  <c r="U48" i="1" s="1"/>
  <c r="Q116" i="1"/>
  <c r="R116" i="1" s="1"/>
  <c r="H116" i="1" s="1"/>
  <c r="Q69" i="1"/>
  <c r="R69" i="1" s="1"/>
  <c r="H69" i="1" s="1"/>
  <c r="Q31" i="1"/>
  <c r="R31" i="1" s="1"/>
  <c r="H31" i="1" s="1"/>
  <c r="Q77" i="1"/>
  <c r="R77" i="1" s="1"/>
  <c r="H77" i="1" s="1"/>
  <c r="Q141" i="1"/>
  <c r="R141" i="1" s="1"/>
  <c r="H141" i="1" s="1"/>
  <c r="Q117" i="1"/>
  <c r="R117" i="1" s="1"/>
  <c r="H117" i="1" s="1"/>
  <c r="Q93" i="1"/>
  <c r="R93" i="1" s="1"/>
  <c r="H93" i="1" s="1"/>
  <c r="Q35" i="1"/>
  <c r="S35" i="1" s="1"/>
  <c r="V35" i="1" s="1"/>
  <c r="Q143" i="1"/>
  <c r="R143" i="1" s="1"/>
  <c r="H143" i="1" s="1"/>
  <c r="Q101" i="1"/>
  <c r="U101" i="1" s="1"/>
  <c r="Q47" i="1"/>
  <c r="S47" i="1" s="1"/>
  <c r="V47" i="1" s="1"/>
  <c r="Q103" i="1"/>
  <c r="R103" i="1" s="1"/>
  <c r="H103" i="1" s="1"/>
  <c r="Q37" i="1"/>
  <c r="R37" i="1" s="1"/>
  <c r="H37" i="1" s="1"/>
  <c r="Q130" i="1"/>
  <c r="R130" i="1" s="1"/>
  <c r="H130" i="1" s="1"/>
  <c r="Q67" i="1"/>
  <c r="R67" i="1" s="1"/>
  <c r="H67" i="1" s="1"/>
  <c r="Q85" i="1"/>
  <c r="R85" i="1" s="1"/>
  <c r="H85" i="1" s="1"/>
  <c r="Q79" i="1"/>
  <c r="R79" i="1" s="1"/>
  <c r="H79" i="1" s="1"/>
  <c r="Q139" i="1"/>
  <c r="R139" i="1" s="1"/>
  <c r="H139" i="1" s="1"/>
  <c r="Q57" i="1"/>
  <c r="R57" i="1" s="1"/>
  <c r="H57" i="1" s="1"/>
  <c r="Q51" i="1"/>
  <c r="R51" i="1" s="1"/>
  <c r="H51" i="1" s="1"/>
  <c r="Q23" i="1"/>
  <c r="R23" i="1" s="1"/>
  <c r="H23" i="1" s="1"/>
  <c r="Q81" i="1"/>
  <c r="R81" i="1" s="1"/>
  <c r="H81" i="1" s="1"/>
  <c r="Q33" i="1"/>
  <c r="S33" i="1" s="1"/>
  <c r="V33" i="1" s="1"/>
  <c r="Q150" i="1"/>
  <c r="R150" i="1" s="1"/>
  <c r="H150" i="1" s="1"/>
  <c r="Q147" i="1"/>
  <c r="R147" i="1" s="1"/>
  <c r="H147" i="1" s="1"/>
  <c r="Q97" i="1"/>
  <c r="R97" i="1" s="1"/>
  <c r="H97" i="1" s="1"/>
  <c r="Q61" i="1"/>
  <c r="R61" i="1" s="1"/>
  <c r="H61" i="1" s="1"/>
  <c r="S142" i="1"/>
  <c r="V142" i="1" s="1"/>
  <c r="Z142" i="1" s="1"/>
  <c r="Q27" i="1"/>
  <c r="U27" i="1" s="1"/>
  <c r="Q108" i="1"/>
  <c r="R108" i="1" s="1"/>
  <c r="H108" i="1" s="1"/>
  <c r="Q105" i="1"/>
  <c r="S105" i="1" s="1"/>
  <c r="V105" i="1" s="1"/>
  <c r="Z105" i="1" s="1"/>
  <c r="AD105" i="1" s="1"/>
  <c r="Q144" i="1"/>
  <c r="R144" i="1" s="1"/>
  <c r="H144" i="1" s="1"/>
  <c r="Q127" i="1"/>
  <c r="R127" i="1" s="1"/>
  <c r="H127" i="1" s="1"/>
  <c r="Q21" i="1"/>
  <c r="S21" i="1" s="1"/>
  <c r="V21" i="1" s="1"/>
  <c r="Q138" i="1"/>
  <c r="R138" i="1" s="1"/>
  <c r="H138" i="1" s="1"/>
  <c r="Q135" i="1"/>
  <c r="R135" i="1" s="1"/>
  <c r="H135" i="1" s="1"/>
  <c r="Q121" i="1"/>
  <c r="S121" i="1" s="1"/>
  <c r="V121" i="1" s="1"/>
  <c r="Z121" i="1" s="1"/>
  <c r="Q154" i="1"/>
  <c r="R154" i="1" s="1"/>
  <c r="H154" i="1" s="1"/>
  <c r="Q146" i="1"/>
  <c r="R146" i="1" s="1"/>
  <c r="H146" i="1" s="1"/>
  <c r="Q132" i="1"/>
  <c r="R132" i="1" s="1"/>
  <c r="H132" i="1" s="1"/>
  <c r="Q113" i="1"/>
  <c r="R113" i="1" s="1"/>
  <c r="H113" i="1" s="1"/>
  <c r="R126" i="1"/>
  <c r="H126" i="1" s="1"/>
  <c r="Q87" i="1"/>
  <c r="R87" i="1" s="1"/>
  <c r="H87" i="1" s="1"/>
  <c r="Q95" i="1"/>
  <c r="R95" i="1" s="1"/>
  <c r="H95" i="1" s="1"/>
  <c r="Q151" i="1"/>
  <c r="R55" i="1"/>
  <c r="H55" i="1" s="1"/>
  <c r="S55" i="1"/>
  <c r="V55" i="1" s="1"/>
  <c r="Z55" i="1" s="1"/>
  <c r="U55" i="1"/>
  <c r="R136" i="1"/>
  <c r="H136" i="1" s="1"/>
  <c r="R35" i="1"/>
  <c r="H35" i="1" s="1"/>
  <c r="S32" i="1"/>
  <c r="V32" i="1" s="1"/>
  <c r="Z32" i="1" s="1"/>
  <c r="Q160" i="1"/>
  <c r="Q91" i="1"/>
  <c r="R91" i="1" s="1"/>
  <c r="H91" i="1" s="1"/>
  <c r="U83" i="1"/>
  <c r="Q25" i="1"/>
  <c r="R25" i="1" s="1"/>
  <c r="H25" i="1" s="1"/>
  <c r="Q162" i="1"/>
  <c r="S126" i="1"/>
  <c r="V126" i="1" s="1"/>
  <c r="Z126" i="1" s="1"/>
  <c r="AA126" i="1" s="1"/>
  <c r="Q118" i="1"/>
  <c r="R118" i="1" s="1"/>
  <c r="H118" i="1" s="1"/>
  <c r="Q73" i="1"/>
  <c r="S73" i="1" s="1"/>
  <c r="V73" i="1" s="1"/>
  <c r="Q43" i="1"/>
  <c r="S43" i="1" s="1"/>
  <c r="V43" i="1" s="1"/>
  <c r="S117" i="1"/>
  <c r="V117" i="1" s="1"/>
  <c r="Q110" i="1"/>
  <c r="R110" i="1" s="1"/>
  <c r="H110" i="1" s="1"/>
  <c r="Q50" i="1"/>
  <c r="U50" i="1" s="1"/>
  <c r="Q45" i="1"/>
  <c r="U45" i="1" s="1"/>
  <c r="Q115" i="1"/>
  <c r="R115" i="1" s="1"/>
  <c r="H115" i="1" s="1"/>
  <c r="Q30" i="1"/>
  <c r="U30" i="1" s="1"/>
  <c r="S129" i="1"/>
  <c r="V129" i="1" s="1"/>
  <c r="X129" i="1" s="1"/>
  <c r="Y129" i="1" s="1"/>
  <c r="Q177" i="1"/>
  <c r="R177" i="1" s="1"/>
  <c r="H177" i="1" s="1"/>
  <c r="Q148" i="1"/>
  <c r="R148" i="1" s="1"/>
  <c r="H148" i="1" s="1"/>
  <c r="U117" i="1"/>
  <c r="U114" i="1"/>
  <c r="Q112" i="1"/>
  <c r="R112" i="1" s="1"/>
  <c r="H112" i="1" s="1"/>
  <c r="Q42" i="1"/>
  <c r="R42" i="1" s="1"/>
  <c r="H42" i="1" s="1"/>
  <c r="Q32" i="1"/>
  <c r="R32" i="1" s="1"/>
  <c r="H32" i="1" s="1"/>
  <c r="Q29" i="1"/>
  <c r="R29" i="1" s="1"/>
  <c r="H29" i="1" s="1"/>
  <c r="Q168" i="1"/>
  <c r="U168" i="1" s="1"/>
  <c r="Q131" i="1"/>
  <c r="R131" i="1" s="1"/>
  <c r="H131" i="1" s="1"/>
  <c r="Q106" i="1"/>
  <c r="R106" i="1" s="1"/>
  <c r="H106" i="1" s="1"/>
  <c r="Q56" i="1"/>
  <c r="R56" i="1" s="1"/>
  <c r="H56" i="1" s="1"/>
  <c r="Q26" i="1"/>
  <c r="S26" i="1" s="1"/>
  <c r="V26" i="1" s="1"/>
  <c r="Q174" i="1"/>
  <c r="R174" i="1" s="1"/>
  <c r="H174" i="1" s="1"/>
  <c r="Q172" i="1"/>
  <c r="Q89" i="1"/>
  <c r="U89" i="1" s="1"/>
  <c r="Q41" i="1"/>
  <c r="R41" i="1" s="1"/>
  <c r="H41" i="1" s="1"/>
  <c r="Q63" i="1"/>
  <c r="S63" i="1" s="1"/>
  <c r="V63" i="1" s="1"/>
  <c r="Z63" i="1" s="1"/>
  <c r="Q53" i="1"/>
  <c r="R53" i="1" s="1"/>
  <c r="H53" i="1" s="1"/>
  <c r="Q36" i="1"/>
  <c r="Q20" i="1"/>
  <c r="R20" i="1" s="1"/>
  <c r="H20" i="1" s="1"/>
  <c r="Q152" i="1"/>
  <c r="R152" i="1" s="1"/>
  <c r="H152" i="1" s="1"/>
  <c r="Q164" i="1"/>
  <c r="R164" i="1" s="1"/>
  <c r="H164" i="1" s="1"/>
  <c r="U164" i="1"/>
  <c r="Q158" i="1"/>
  <c r="S158" i="1" s="1"/>
  <c r="V158" i="1" s="1"/>
  <c r="S144" i="1"/>
  <c r="V144" i="1" s="1"/>
  <c r="Q161" i="1"/>
  <c r="R161" i="1" s="1"/>
  <c r="H161" i="1" s="1"/>
  <c r="Q124" i="1"/>
  <c r="R124" i="1" s="1"/>
  <c r="H124" i="1" s="1"/>
  <c r="R101" i="1"/>
  <c r="H101" i="1" s="1"/>
  <c r="Q156" i="1"/>
  <c r="R156" i="1" s="1"/>
  <c r="H156" i="1" s="1"/>
  <c r="Q140" i="1"/>
  <c r="R140" i="1" s="1"/>
  <c r="H140" i="1" s="1"/>
  <c r="Q133" i="1"/>
  <c r="R133" i="1" s="1"/>
  <c r="H133" i="1" s="1"/>
  <c r="Z117" i="1"/>
  <c r="X117" i="1"/>
  <c r="Y117" i="1" s="1"/>
  <c r="Q107" i="1"/>
  <c r="R107" i="1" s="1"/>
  <c r="H107" i="1" s="1"/>
  <c r="Q123" i="1"/>
  <c r="R123" i="1" s="1"/>
  <c r="H123" i="1" s="1"/>
  <c r="S113" i="1"/>
  <c r="V113" i="1" s="1"/>
  <c r="Q173" i="1"/>
  <c r="R173" i="1" s="1"/>
  <c r="H173" i="1" s="1"/>
  <c r="Q145" i="1"/>
  <c r="R145" i="1" s="1"/>
  <c r="H145" i="1" s="1"/>
  <c r="Q169" i="1"/>
  <c r="U169" i="1" s="1"/>
  <c r="Q165" i="1"/>
  <c r="R165" i="1" s="1"/>
  <c r="H165" i="1" s="1"/>
  <c r="Q149" i="1"/>
  <c r="R149" i="1" s="1"/>
  <c r="H149" i="1" s="1"/>
  <c r="Q175" i="1"/>
  <c r="S175" i="1" s="1"/>
  <c r="V175" i="1" s="1"/>
  <c r="Q157" i="1"/>
  <c r="R157" i="1" s="1"/>
  <c r="H157" i="1" s="1"/>
  <c r="Q100" i="1"/>
  <c r="R100" i="1" s="1"/>
  <c r="H100" i="1" s="1"/>
  <c r="Q170" i="1"/>
  <c r="R170" i="1" s="1"/>
  <c r="H170" i="1" s="1"/>
  <c r="S170" i="1"/>
  <c r="V170" i="1" s="1"/>
  <c r="Q155" i="1"/>
  <c r="R155" i="1" s="1"/>
  <c r="H155" i="1" s="1"/>
  <c r="Q176" i="1"/>
  <c r="U176" i="1" s="1"/>
  <c r="Q163" i="1"/>
  <c r="S163" i="1" s="1"/>
  <c r="V163" i="1" s="1"/>
  <c r="U142" i="1"/>
  <c r="Q122" i="1"/>
  <c r="R73" i="1"/>
  <c r="H73" i="1" s="1"/>
  <c r="U73" i="1"/>
  <c r="Q49" i="1"/>
  <c r="R49" i="1" s="1"/>
  <c r="H49" i="1" s="1"/>
  <c r="Q134" i="1"/>
  <c r="R134" i="1" s="1"/>
  <c r="H134" i="1" s="1"/>
  <c r="Q125" i="1"/>
  <c r="R125" i="1" s="1"/>
  <c r="H125" i="1" s="1"/>
  <c r="Q94" i="1"/>
  <c r="R94" i="1" s="1"/>
  <c r="H94" i="1" s="1"/>
  <c r="S143" i="1"/>
  <c r="V143" i="1" s="1"/>
  <c r="S128" i="1"/>
  <c r="V128" i="1" s="1"/>
  <c r="U128" i="1"/>
  <c r="Q153" i="1"/>
  <c r="S153" i="1" s="1"/>
  <c r="V153" i="1" s="1"/>
  <c r="S130" i="1"/>
  <c r="V130" i="1" s="1"/>
  <c r="U130" i="1"/>
  <c r="Q102" i="1"/>
  <c r="R102" i="1" s="1"/>
  <c r="H102" i="1" s="1"/>
  <c r="Q99" i="1"/>
  <c r="R99" i="1" s="1"/>
  <c r="H99" i="1" s="1"/>
  <c r="Q178" i="1"/>
  <c r="Q167" i="1"/>
  <c r="R167" i="1" s="1"/>
  <c r="H167" i="1" s="1"/>
  <c r="U150" i="1"/>
  <c r="S147" i="1"/>
  <c r="V147" i="1" s="1"/>
  <c r="U146" i="1"/>
  <c r="Q137" i="1"/>
  <c r="Q109" i="1"/>
  <c r="U109" i="1" s="1"/>
  <c r="S81" i="1"/>
  <c r="V81" i="1" s="1"/>
  <c r="S29" i="1"/>
  <c r="V29" i="1" s="1"/>
  <c r="Q166" i="1"/>
  <c r="Q159" i="1"/>
  <c r="S159" i="1" s="1"/>
  <c r="V159" i="1" s="1"/>
  <c r="Q120" i="1"/>
  <c r="R120" i="1" s="1"/>
  <c r="H120" i="1" s="1"/>
  <c r="S116" i="1"/>
  <c r="V116" i="1" s="1"/>
  <c r="U116" i="1"/>
  <c r="R39" i="1"/>
  <c r="H39" i="1" s="1"/>
  <c r="S39" i="1"/>
  <c r="V39" i="1" s="1"/>
  <c r="Q74" i="1"/>
  <c r="R74" i="1" s="1"/>
  <c r="H74" i="1" s="1"/>
  <c r="Q96" i="1"/>
  <c r="R96" i="1" s="1"/>
  <c r="H96" i="1" s="1"/>
  <c r="R121" i="1"/>
  <c r="H121" i="1" s="1"/>
  <c r="U121" i="1"/>
  <c r="U104" i="1"/>
  <c r="U37" i="1"/>
  <c r="R33" i="1"/>
  <c r="H33" i="1" s="1"/>
  <c r="U129" i="1"/>
  <c r="U127" i="1"/>
  <c r="S119" i="1"/>
  <c r="V119" i="1" s="1"/>
  <c r="U119" i="1"/>
  <c r="Q75" i="1"/>
  <c r="R75" i="1" s="1"/>
  <c r="H75" i="1" s="1"/>
  <c r="Q71" i="1"/>
  <c r="S71" i="1" s="1"/>
  <c r="V71" i="1" s="1"/>
  <c r="S108" i="1"/>
  <c r="V108" i="1" s="1"/>
  <c r="U108" i="1"/>
  <c r="S97" i="1"/>
  <c r="V97" i="1" s="1"/>
  <c r="Q86" i="1"/>
  <c r="R86" i="1" s="1"/>
  <c r="H86" i="1" s="1"/>
  <c r="S67" i="1"/>
  <c r="V67" i="1" s="1"/>
  <c r="U67" i="1"/>
  <c r="U93" i="1"/>
  <c r="S93" i="1"/>
  <c r="V93" i="1" s="1"/>
  <c r="Q84" i="1"/>
  <c r="R84" i="1" s="1"/>
  <c r="H84" i="1" s="1"/>
  <c r="Q76" i="1"/>
  <c r="R76" i="1" s="1"/>
  <c r="H76" i="1" s="1"/>
  <c r="S114" i="1"/>
  <c r="V114" i="1" s="1"/>
  <c r="Q59" i="1"/>
  <c r="S59" i="1" s="1"/>
  <c r="V59" i="1" s="1"/>
  <c r="S104" i="1"/>
  <c r="V104" i="1" s="1"/>
  <c r="S48" i="1"/>
  <c r="V48" i="1" s="1"/>
  <c r="Q90" i="1"/>
  <c r="R90" i="1" s="1"/>
  <c r="H90" i="1" s="1"/>
  <c r="S90" i="1"/>
  <c r="V90" i="1" s="1"/>
  <c r="Q82" i="1"/>
  <c r="U82" i="1" s="1"/>
  <c r="Q65" i="1"/>
  <c r="R65" i="1" s="1"/>
  <c r="H65" i="1" s="1"/>
  <c r="Q92" i="1"/>
  <c r="U92" i="1" s="1"/>
  <c r="Q66" i="1"/>
  <c r="R66" i="1" s="1"/>
  <c r="H66" i="1" s="1"/>
  <c r="U66" i="1"/>
  <c r="R27" i="1"/>
  <c r="H27" i="1" s="1"/>
  <c r="Q78" i="1"/>
  <c r="U78" i="1" s="1"/>
  <c r="S83" i="1"/>
  <c r="V83" i="1" s="1"/>
  <c r="Q70" i="1"/>
  <c r="R70" i="1" s="1"/>
  <c r="H70" i="1" s="1"/>
  <c r="Q88" i="1"/>
  <c r="U88" i="1" s="1"/>
  <c r="Q80" i="1"/>
  <c r="U80" i="1" s="1"/>
  <c r="S79" i="1"/>
  <c r="V79" i="1" s="1"/>
  <c r="Q58" i="1"/>
  <c r="Q46" i="1"/>
  <c r="U46" i="1" s="1"/>
  <c r="Q98" i="1"/>
  <c r="U98" i="1" s="1"/>
  <c r="Q64" i="1"/>
  <c r="U64" i="1" s="1"/>
  <c r="S42" i="1"/>
  <c r="V42" i="1" s="1"/>
  <c r="Q68" i="1"/>
  <c r="U68" i="1" s="1"/>
  <c r="Q62" i="1"/>
  <c r="U62" i="1" s="1"/>
  <c r="Q54" i="1"/>
  <c r="Q44" i="1"/>
  <c r="U44" i="1" s="1"/>
  <c r="Q28" i="1"/>
  <c r="Q72" i="1"/>
  <c r="U72" i="1" s="1"/>
  <c r="Q60" i="1"/>
  <c r="Q52" i="1"/>
  <c r="U52" i="1" s="1"/>
  <c r="Q40" i="1"/>
  <c r="U40" i="1" s="1"/>
  <c r="Q24" i="1"/>
  <c r="U24" i="1" s="1"/>
  <c r="Q38" i="1"/>
  <c r="U38" i="1" s="1"/>
  <c r="Q22" i="1"/>
  <c r="Q34" i="1"/>
  <c r="U34" i="1" s="1"/>
  <c r="U36" i="1"/>
  <c r="U32" i="1"/>
  <c r="U20" i="1"/>
  <c r="Q19" i="1"/>
  <c r="R19" i="1" s="1"/>
  <c r="H19" i="1" s="1"/>
  <c r="C7" i="9"/>
  <c r="D7" i="9"/>
  <c r="H4" i="9" s="1"/>
  <c r="B9" i="7"/>
  <c r="B12" i="7"/>
  <c r="B13" i="7"/>
  <c r="B14" i="7"/>
  <c r="B15" i="7"/>
  <c r="B16" i="7"/>
  <c r="B17" i="7"/>
  <c r="B27" i="7"/>
  <c r="B28" i="7"/>
  <c r="B29" i="7"/>
  <c r="B30" i="7"/>
  <c r="B31" i="7"/>
  <c r="B32" i="7"/>
  <c r="B33" i="7"/>
  <c r="B2" i="7"/>
  <c r="B18" i="7" s="1"/>
  <c r="Y3" i="6"/>
  <c r="W4" i="6" s="1"/>
  <c r="R63" i="1" l="1"/>
  <c r="H63" i="1" s="1"/>
  <c r="U29" i="1"/>
  <c r="X63" i="1"/>
  <c r="Y63" i="1" s="1"/>
  <c r="R48" i="1"/>
  <c r="H48" i="1" s="1"/>
  <c r="S101" i="1"/>
  <c r="V101" i="1" s="1"/>
  <c r="Z101" i="1" s="1"/>
  <c r="S138" i="1"/>
  <c r="V138" i="1" s="1"/>
  <c r="X138" i="1" s="1"/>
  <c r="Y138" i="1" s="1"/>
  <c r="S131" i="1"/>
  <c r="V131" i="1" s="1"/>
  <c r="Z131" i="1" s="1"/>
  <c r="S87" i="1"/>
  <c r="V87" i="1" s="1"/>
  <c r="S75" i="1"/>
  <c r="V75" i="1" s="1"/>
  <c r="Z75" i="1" s="1"/>
  <c r="S20" i="1"/>
  <c r="V20" i="1" s="1"/>
  <c r="S103" i="1"/>
  <c r="V103" i="1" s="1"/>
  <c r="X103" i="1" s="1"/>
  <c r="Y103" i="1" s="1"/>
  <c r="S171" i="1"/>
  <c r="V171" i="1" s="1"/>
  <c r="U113" i="1"/>
  <c r="U69" i="1"/>
  <c r="U63" i="1"/>
  <c r="U136" i="1"/>
  <c r="U87" i="1"/>
  <c r="S132" i="1"/>
  <c r="V132" i="1" s="1"/>
  <c r="X132" i="1" s="1"/>
  <c r="Y132" i="1" s="1"/>
  <c r="S111" i="1"/>
  <c r="V111" i="1" s="1"/>
  <c r="U131" i="1"/>
  <c r="S69" i="1"/>
  <c r="V69" i="1" s="1"/>
  <c r="X142" i="1"/>
  <c r="Y142" i="1" s="1"/>
  <c r="S50" i="1"/>
  <c r="V50" i="1" s="1"/>
  <c r="X50" i="1" s="1"/>
  <c r="Y50" i="1" s="1"/>
  <c r="R50" i="1"/>
  <c r="H50" i="1" s="1"/>
  <c r="S31" i="1"/>
  <c r="V31" i="1" s="1"/>
  <c r="Z31" i="1" s="1"/>
  <c r="U147" i="1"/>
  <c r="AD126" i="1"/>
  <c r="U31" i="1"/>
  <c r="U47" i="1"/>
  <c r="U143" i="1"/>
  <c r="U77" i="1"/>
  <c r="S77" i="1"/>
  <c r="V77" i="1" s="1"/>
  <c r="Z77" i="1" s="1"/>
  <c r="S146" i="1"/>
  <c r="V146" i="1" s="1"/>
  <c r="X146" i="1" s="1"/>
  <c r="Y146" i="1" s="1"/>
  <c r="U111" i="1"/>
  <c r="U97" i="1"/>
  <c r="U138" i="1"/>
  <c r="U171" i="1"/>
  <c r="U103" i="1"/>
  <c r="Z47" i="1"/>
  <c r="AA47" i="1" s="1"/>
  <c r="X47" i="1"/>
  <c r="Y47" i="1" s="1"/>
  <c r="X35" i="1"/>
  <c r="Y35" i="1" s="1"/>
  <c r="Z35" i="1"/>
  <c r="U21" i="1"/>
  <c r="S86" i="1"/>
  <c r="V86" i="1" s="1"/>
  <c r="U23" i="1"/>
  <c r="S25" i="1"/>
  <c r="V25" i="1" s="1"/>
  <c r="X55" i="1"/>
  <c r="Y55" i="1" s="1"/>
  <c r="S140" i="1"/>
  <c r="V140" i="1" s="1"/>
  <c r="Z140" i="1" s="1"/>
  <c r="S164" i="1"/>
  <c r="V164" i="1" s="1"/>
  <c r="X164" i="1" s="1"/>
  <c r="Y164" i="1" s="1"/>
  <c r="S174" i="1"/>
  <c r="V174" i="1" s="1"/>
  <c r="X174" i="1" s="1"/>
  <c r="Y174" i="1" s="1"/>
  <c r="U25" i="1"/>
  <c r="R21" i="1"/>
  <c r="H21" i="1" s="1"/>
  <c r="S23" i="1"/>
  <c r="V23" i="1" s="1"/>
  <c r="X23" i="1" s="1"/>
  <c r="Y23" i="1" s="1"/>
  <c r="U26" i="1"/>
  <c r="S51" i="1"/>
  <c r="V51" i="1" s="1"/>
  <c r="Z51" i="1" s="1"/>
  <c r="U90" i="1"/>
  <c r="S115" i="1"/>
  <c r="V115" i="1" s="1"/>
  <c r="Z115" i="1" s="1"/>
  <c r="U35" i="1"/>
  <c r="U115" i="1"/>
  <c r="X121" i="1"/>
  <c r="Y121" i="1" s="1"/>
  <c r="R26" i="1"/>
  <c r="H26" i="1" s="1"/>
  <c r="U81" i="1"/>
  <c r="U102" i="1"/>
  <c r="S57" i="1"/>
  <c r="V57" i="1" s="1"/>
  <c r="Z57" i="1" s="1"/>
  <c r="U51" i="1"/>
  <c r="S85" i="1"/>
  <c r="V85" i="1" s="1"/>
  <c r="Z85" i="1" s="1"/>
  <c r="AA85" i="1" s="1"/>
  <c r="S91" i="1"/>
  <c r="V91" i="1" s="1"/>
  <c r="X91" i="1" s="1"/>
  <c r="Y91" i="1" s="1"/>
  <c r="U57" i="1"/>
  <c r="U105" i="1"/>
  <c r="U42" i="1"/>
  <c r="U53" i="1"/>
  <c r="S139" i="1"/>
  <c r="V139" i="1" s="1"/>
  <c r="S102" i="1"/>
  <c r="V102" i="1" s="1"/>
  <c r="X102" i="1" s="1"/>
  <c r="Y102" i="1" s="1"/>
  <c r="R105" i="1"/>
  <c r="H105" i="1" s="1"/>
  <c r="S37" i="1"/>
  <c r="V37" i="1" s="1"/>
  <c r="X37" i="1" s="1"/>
  <c r="Y37" i="1" s="1"/>
  <c r="U139" i="1"/>
  <c r="U132" i="1"/>
  <c r="R47" i="1"/>
  <c r="H47" i="1" s="1"/>
  <c r="U85" i="1"/>
  <c r="S141" i="1"/>
  <c r="V141" i="1" s="1"/>
  <c r="X141" i="1" s="1"/>
  <c r="Y141" i="1" s="1"/>
  <c r="U161" i="1"/>
  <c r="U79" i="1"/>
  <c r="S61" i="1"/>
  <c r="V61" i="1" s="1"/>
  <c r="Z61" i="1" s="1"/>
  <c r="AD61" i="1" s="1"/>
  <c r="S66" i="1"/>
  <c r="V66" i="1" s="1"/>
  <c r="U141" i="1"/>
  <c r="Z21" i="1"/>
  <c r="AD21" i="1" s="1"/>
  <c r="X21" i="1"/>
  <c r="Y21" i="1" s="1"/>
  <c r="U155" i="1"/>
  <c r="U110" i="1"/>
  <c r="U61" i="1"/>
  <c r="S152" i="1"/>
  <c r="V152" i="1" s="1"/>
  <c r="X152" i="1" s="1"/>
  <c r="Y152" i="1" s="1"/>
  <c r="S127" i="1"/>
  <c r="V127" i="1" s="1"/>
  <c r="X127" i="1" s="1"/>
  <c r="Y127" i="1" s="1"/>
  <c r="U95" i="1"/>
  <c r="S53" i="1"/>
  <c r="V53" i="1" s="1"/>
  <c r="S41" i="1"/>
  <c r="V41" i="1" s="1"/>
  <c r="Z41" i="1" s="1"/>
  <c r="S123" i="1"/>
  <c r="V123" i="1" s="1"/>
  <c r="X123" i="1" s="1"/>
  <c r="Y123" i="1" s="1"/>
  <c r="R151" i="1"/>
  <c r="H151" i="1" s="1"/>
  <c r="S151" i="1"/>
  <c r="V151" i="1" s="1"/>
  <c r="U135" i="1"/>
  <c r="U41" i="1"/>
  <c r="U56" i="1"/>
  <c r="S74" i="1"/>
  <c r="V74" i="1" s="1"/>
  <c r="Z74" i="1" s="1"/>
  <c r="U154" i="1"/>
  <c r="S95" i="1"/>
  <c r="V95" i="1" s="1"/>
  <c r="S112" i="1"/>
  <c r="V112" i="1" s="1"/>
  <c r="Z112" i="1" s="1"/>
  <c r="U33" i="1"/>
  <c r="S135" i="1"/>
  <c r="V135" i="1" s="1"/>
  <c r="X135" i="1" s="1"/>
  <c r="Y135" i="1" s="1"/>
  <c r="S27" i="1"/>
  <c r="V27" i="1" s="1"/>
  <c r="Z27" i="1" s="1"/>
  <c r="S118" i="1"/>
  <c r="V118" i="1" s="1"/>
  <c r="S56" i="1"/>
  <c r="V56" i="1" s="1"/>
  <c r="Z56" i="1" s="1"/>
  <c r="S110" i="1"/>
  <c r="V110" i="1" s="1"/>
  <c r="Z110" i="1" s="1"/>
  <c r="U144" i="1"/>
  <c r="Z138" i="1"/>
  <c r="S99" i="1"/>
  <c r="V99" i="1" s="1"/>
  <c r="Z99" i="1" s="1"/>
  <c r="U151" i="1"/>
  <c r="S155" i="1"/>
  <c r="V155" i="1" s="1"/>
  <c r="S150" i="1"/>
  <c r="V150" i="1" s="1"/>
  <c r="Z150" i="1" s="1"/>
  <c r="U91" i="1"/>
  <c r="U112" i="1"/>
  <c r="S154" i="1"/>
  <c r="V154" i="1" s="1"/>
  <c r="R172" i="1"/>
  <c r="H172" i="1" s="1"/>
  <c r="U172" i="1"/>
  <c r="S172" i="1"/>
  <c r="V172" i="1" s="1"/>
  <c r="U170" i="1"/>
  <c r="X61" i="1"/>
  <c r="Y61" i="1" s="1"/>
  <c r="U157" i="1"/>
  <c r="U107" i="1"/>
  <c r="S94" i="1"/>
  <c r="V94" i="1" s="1"/>
  <c r="X94" i="1" s="1"/>
  <c r="Y94" i="1" s="1"/>
  <c r="S157" i="1"/>
  <c r="V157" i="1" s="1"/>
  <c r="Z157" i="1" s="1"/>
  <c r="S107" i="1"/>
  <c r="V107" i="1" s="1"/>
  <c r="X107" i="1" s="1"/>
  <c r="Y107" i="1" s="1"/>
  <c r="U174" i="1"/>
  <c r="S106" i="1"/>
  <c r="V106" i="1" s="1"/>
  <c r="Z106" i="1" s="1"/>
  <c r="U118" i="1"/>
  <c r="U134" i="1"/>
  <c r="U177" i="1"/>
  <c r="R168" i="1"/>
  <c r="H168" i="1" s="1"/>
  <c r="S168" i="1"/>
  <c r="V168" i="1" s="1"/>
  <c r="X32" i="1"/>
  <c r="Y32" i="1" s="1"/>
  <c r="S148" i="1"/>
  <c r="V148" i="1" s="1"/>
  <c r="Z148" i="1" s="1"/>
  <c r="AA61" i="1"/>
  <c r="S45" i="1"/>
  <c r="V45" i="1" s="1"/>
  <c r="R45" i="1"/>
  <c r="H45" i="1" s="1"/>
  <c r="AA105" i="1"/>
  <c r="X136" i="1"/>
  <c r="Y136" i="1" s="1"/>
  <c r="Z136" i="1"/>
  <c r="U75" i="1"/>
  <c r="R43" i="1"/>
  <c r="H43" i="1" s="1"/>
  <c r="U120" i="1"/>
  <c r="S120" i="1"/>
  <c r="V120" i="1" s="1"/>
  <c r="Z120" i="1" s="1"/>
  <c r="Z129" i="1"/>
  <c r="AA129" i="1" s="1"/>
  <c r="U156" i="1"/>
  <c r="S161" i="1"/>
  <c r="V161" i="1" s="1"/>
  <c r="Z161" i="1" s="1"/>
  <c r="S160" i="1"/>
  <c r="V160" i="1" s="1"/>
  <c r="U160" i="1"/>
  <c r="R160" i="1"/>
  <c r="H160" i="1" s="1"/>
  <c r="S177" i="1"/>
  <c r="V177" i="1" s="1"/>
  <c r="S65" i="1"/>
  <c r="V65" i="1" s="1"/>
  <c r="U148" i="1"/>
  <c r="Z135" i="1"/>
  <c r="R89" i="1"/>
  <c r="H89" i="1" s="1"/>
  <c r="S89" i="1"/>
  <c r="V89" i="1" s="1"/>
  <c r="R162" i="1"/>
  <c r="H162" i="1" s="1"/>
  <c r="U162" i="1"/>
  <c r="S162" i="1"/>
  <c r="V162" i="1" s="1"/>
  <c r="U152" i="1"/>
  <c r="X105" i="1"/>
  <c r="Y105" i="1" s="1"/>
  <c r="R30" i="1"/>
  <c r="H30" i="1" s="1"/>
  <c r="S30" i="1"/>
  <c r="V30" i="1" s="1"/>
  <c r="U106" i="1"/>
  <c r="U43" i="1"/>
  <c r="S134" i="1"/>
  <c r="V134" i="1" s="1"/>
  <c r="X134" i="1" s="1"/>
  <c r="Y134" i="1" s="1"/>
  <c r="R36" i="1"/>
  <c r="H36" i="1" s="1"/>
  <c r="S36" i="1"/>
  <c r="V36" i="1" s="1"/>
  <c r="U173" i="1"/>
  <c r="X126" i="1"/>
  <c r="Y126" i="1" s="1"/>
  <c r="AG126" i="1"/>
  <c r="AH126" i="1" s="1"/>
  <c r="J126" i="1" s="1"/>
  <c r="AE126" i="1"/>
  <c r="AF126" i="1" s="1"/>
  <c r="AG61" i="1"/>
  <c r="AH61" i="1" s="1"/>
  <c r="J61" i="1" s="1"/>
  <c r="AE61" i="1"/>
  <c r="AF61" i="1" s="1"/>
  <c r="I61" i="1" s="1"/>
  <c r="AG105" i="1"/>
  <c r="AH105" i="1" s="1"/>
  <c r="J105" i="1" s="1"/>
  <c r="AE105" i="1"/>
  <c r="AF105" i="1" s="1"/>
  <c r="Z163" i="1"/>
  <c r="X163" i="1"/>
  <c r="Y163" i="1" s="1"/>
  <c r="Z90" i="1"/>
  <c r="X90" i="1"/>
  <c r="Y90" i="1" s="1"/>
  <c r="R137" i="1"/>
  <c r="H137" i="1" s="1"/>
  <c r="S137" i="1"/>
  <c r="V137" i="1" s="1"/>
  <c r="R52" i="1"/>
  <c r="H52" i="1" s="1"/>
  <c r="S52" i="1"/>
  <c r="V52" i="1" s="1"/>
  <c r="R78" i="1"/>
  <c r="H78" i="1" s="1"/>
  <c r="S78" i="1"/>
  <c r="V78" i="1" s="1"/>
  <c r="U137" i="1"/>
  <c r="X153" i="1"/>
  <c r="Y153" i="1" s="1"/>
  <c r="Z153" i="1"/>
  <c r="U49" i="1"/>
  <c r="X101" i="1"/>
  <c r="Y101" i="1" s="1"/>
  <c r="Z23" i="1"/>
  <c r="X159" i="1"/>
  <c r="Y159" i="1" s="1"/>
  <c r="Z159" i="1"/>
  <c r="Z118" i="1"/>
  <c r="X118" i="1"/>
  <c r="Y118" i="1" s="1"/>
  <c r="R153" i="1"/>
  <c r="H153" i="1" s="1"/>
  <c r="U153" i="1"/>
  <c r="X148" i="1"/>
  <c r="Y148" i="1" s="1"/>
  <c r="Z113" i="1"/>
  <c r="X113" i="1"/>
  <c r="Y113" i="1" s="1"/>
  <c r="S133" i="1"/>
  <c r="V133" i="1" s="1"/>
  <c r="X131" i="1"/>
  <c r="Y131" i="1" s="1"/>
  <c r="X108" i="1"/>
  <c r="Y108" i="1" s="1"/>
  <c r="Z108" i="1"/>
  <c r="X116" i="1"/>
  <c r="Y116" i="1" s="1"/>
  <c r="Z116" i="1"/>
  <c r="X99" i="1"/>
  <c r="Y99" i="1" s="1"/>
  <c r="AD121" i="1"/>
  <c r="AA121" i="1"/>
  <c r="X139" i="1"/>
  <c r="Y139" i="1" s="1"/>
  <c r="Z139" i="1"/>
  <c r="R60" i="1"/>
  <c r="H60" i="1" s="1"/>
  <c r="S60" i="1"/>
  <c r="V60" i="1" s="1"/>
  <c r="R34" i="1"/>
  <c r="H34" i="1" s="1"/>
  <c r="S34" i="1"/>
  <c r="V34" i="1" s="1"/>
  <c r="Z42" i="1"/>
  <c r="X42" i="1"/>
  <c r="Y42" i="1" s="1"/>
  <c r="S76" i="1"/>
  <c r="V76" i="1" s="1"/>
  <c r="R159" i="1"/>
  <c r="H159" i="1" s="1"/>
  <c r="U159" i="1"/>
  <c r="AA55" i="1"/>
  <c r="AD55" i="1"/>
  <c r="AA63" i="1"/>
  <c r="AD63" i="1"/>
  <c r="U133" i="1"/>
  <c r="Z37" i="1"/>
  <c r="X81" i="1"/>
  <c r="Y81" i="1" s="1"/>
  <c r="Z81" i="1"/>
  <c r="R72" i="1"/>
  <c r="H72" i="1" s="1"/>
  <c r="S72" i="1"/>
  <c r="V72" i="1" s="1"/>
  <c r="R80" i="1"/>
  <c r="H80" i="1" s="1"/>
  <c r="S80" i="1"/>
  <c r="V80" i="1" s="1"/>
  <c r="Z48" i="1"/>
  <c r="X48" i="1"/>
  <c r="Y48" i="1" s="1"/>
  <c r="U76" i="1"/>
  <c r="Z43" i="1"/>
  <c r="X43" i="1"/>
  <c r="Y43" i="1" s="1"/>
  <c r="X147" i="1"/>
  <c r="Y147" i="1" s="1"/>
  <c r="Z147" i="1"/>
  <c r="Z102" i="1"/>
  <c r="Z73" i="1"/>
  <c r="X73" i="1"/>
  <c r="Y73" i="1" s="1"/>
  <c r="S169" i="1"/>
  <c r="V169" i="1" s="1"/>
  <c r="R169" i="1"/>
  <c r="H169" i="1" s="1"/>
  <c r="U123" i="1"/>
  <c r="X66" i="1"/>
  <c r="Y66" i="1" s="1"/>
  <c r="Z66" i="1"/>
  <c r="R166" i="1"/>
  <c r="H166" i="1" s="1"/>
  <c r="U166" i="1"/>
  <c r="S166" i="1"/>
  <c r="V166" i="1" s="1"/>
  <c r="Z50" i="1"/>
  <c r="Z71" i="1"/>
  <c r="X71" i="1"/>
  <c r="Y71" i="1" s="1"/>
  <c r="Z123" i="1"/>
  <c r="R22" i="1"/>
  <c r="H22" i="1" s="1"/>
  <c r="S22" i="1"/>
  <c r="V22" i="1" s="1"/>
  <c r="R64" i="1"/>
  <c r="H64" i="1" s="1"/>
  <c r="S64" i="1"/>
  <c r="V64" i="1" s="1"/>
  <c r="R88" i="1"/>
  <c r="H88" i="1" s="1"/>
  <c r="S88" i="1"/>
  <c r="V88" i="1" s="1"/>
  <c r="AD32" i="1"/>
  <c r="AA32" i="1"/>
  <c r="X140" i="1"/>
  <c r="Y140" i="1" s="1"/>
  <c r="R44" i="1"/>
  <c r="H44" i="1" s="1"/>
  <c r="S44" i="1"/>
  <c r="V44" i="1" s="1"/>
  <c r="X77" i="1"/>
  <c r="Y77" i="1" s="1"/>
  <c r="U74" i="1"/>
  <c r="X171" i="1"/>
  <c r="Y171" i="1" s="1"/>
  <c r="Z171" i="1"/>
  <c r="U94" i="1"/>
  <c r="R122" i="1"/>
  <c r="H122" i="1" s="1"/>
  <c r="S122" i="1"/>
  <c r="V122" i="1" s="1"/>
  <c r="U122" i="1"/>
  <c r="S145" i="1"/>
  <c r="V145" i="1" s="1"/>
  <c r="U124" i="1"/>
  <c r="X144" i="1"/>
  <c r="Y144" i="1" s="1"/>
  <c r="Z144" i="1"/>
  <c r="X175" i="1"/>
  <c r="Y175" i="1" s="1"/>
  <c r="Z175" i="1"/>
  <c r="AA142" i="1"/>
  <c r="AD142" i="1"/>
  <c r="R71" i="1"/>
  <c r="H71" i="1" s="1"/>
  <c r="U71" i="1"/>
  <c r="Z25" i="1"/>
  <c r="X25" i="1"/>
  <c r="Y25" i="1" s="1"/>
  <c r="R175" i="1"/>
  <c r="H175" i="1" s="1"/>
  <c r="U175" i="1"/>
  <c r="R38" i="1"/>
  <c r="H38" i="1" s="1"/>
  <c r="S38" i="1"/>
  <c r="V38" i="1" s="1"/>
  <c r="Z69" i="1"/>
  <c r="X69" i="1"/>
  <c r="Y69" i="1" s="1"/>
  <c r="Z104" i="1"/>
  <c r="X104" i="1"/>
  <c r="Y104" i="1" s="1"/>
  <c r="Z67" i="1"/>
  <c r="X67" i="1"/>
  <c r="Y67" i="1" s="1"/>
  <c r="X75" i="1"/>
  <c r="Y75" i="1" s="1"/>
  <c r="X31" i="1"/>
  <c r="Y31" i="1" s="1"/>
  <c r="S167" i="1"/>
  <c r="V167" i="1" s="1"/>
  <c r="X128" i="1"/>
  <c r="Y128" i="1" s="1"/>
  <c r="Z128" i="1"/>
  <c r="S149" i="1"/>
  <c r="V149" i="1" s="1"/>
  <c r="U145" i="1"/>
  <c r="U140" i="1"/>
  <c r="S124" i="1"/>
  <c r="V124" i="1" s="1"/>
  <c r="S70" i="1"/>
  <c r="V70" i="1" s="1"/>
  <c r="Z29" i="1"/>
  <c r="X29" i="1"/>
  <c r="Y29" i="1" s="1"/>
  <c r="X26" i="1"/>
  <c r="Y26" i="1" s="1"/>
  <c r="Z26" i="1"/>
  <c r="X57" i="1"/>
  <c r="Y57" i="1" s="1"/>
  <c r="Z141" i="1"/>
  <c r="R24" i="1"/>
  <c r="H24" i="1" s="1"/>
  <c r="S24" i="1"/>
  <c r="V24" i="1" s="1"/>
  <c r="R98" i="1"/>
  <c r="H98" i="1" s="1"/>
  <c r="S98" i="1"/>
  <c r="V98" i="1" s="1"/>
  <c r="U70" i="1"/>
  <c r="R59" i="1"/>
  <c r="H59" i="1" s="1"/>
  <c r="U59" i="1"/>
  <c r="U86" i="1"/>
  <c r="R178" i="1"/>
  <c r="H178" i="1" s="1"/>
  <c r="S178" i="1"/>
  <c r="V178" i="1" s="1"/>
  <c r="U178" i="1"/>
  <c r="U125" i="1"/>
  <c r="U149" i="1"/>
  <c r="S156" i="1"/>
  <c r="V156" i="1" s="1"/>
  <c r="U167" i="1"/>
  <c r="Z114" i="1"/>
  <c r="X114" i="1"/>
  <c r="Y114" i="1" s="1"/>
  <c r="R28" i="1"/>
  <c r="H28" i="1" s="1"/>
  <c r="S28" i="1"/>
  <c r="V28" i="1" s="1"/>
  <c r="R92" i="1"/>
  <c r="H92" i="1" s="1"/>
  <c r="S92" i="1"/>
  <c r="V92" i="1" s="1"/>
  <c r="X86" i="1"/>
  <c r="Y86" i="1" s="1"/>
  <c r="Z86" i="1"/>
  <c r="R54" i="1"/>
  <c r="H54" i="1" s="1"/>
  <c r="S54" i="1"/>
  <c r="V54" i="1" s="1"/>
  <c r="R46" i="1"/>
  <c r="H46" i="1" s="1"/>
  <c r="S46" i="1"/>
  <c r="V46" i="1" s="1"/>
  <c r="Z59" i="1"/>
  <c r="X59" i="1"/>
  <c r="Y59" i="1" s="1"/>
  <c r="S84" i="1"/>
  <c r="V84" i="1" s="1"/>
  <c r="X20" i="1"/>
  <c r="Y20" i="1" s="1"/>
  <c r="Z20" i="1"/>
  <c r="S125" i="1"/>
  <c r="V125" i="1" s="1"/>
  <c r="R163" i="1"/>
  <c r="H163" i="1" s="1"/>
  <c r="U163" i="1"/>
  <c r="X170" i="1"/>
  <c r="Y170" i="1" s="1"/>
  <c r="Z170" i="1"/>
  <c r="U165" i="1"/>
  <c r="AA138" i="1"/>
  <c r="AD138" i="1"/>
  <c r="Z107" i="1"/>
  <c r="X158" i="1"/>
  <c r="Y158" i="1" s="1"/>
  <c r="Z158" i="1"/>
  <c r="U22" i="1"/>
  <c r="U54" i="1"/>
  <c r="R40" i="1"/>
  <c r="H40" i="1" s="1"/>
  <c r="S40" i="1"/>
  <c r="V40" i="1" s="1"/>
  <c r="R62" i="1"/>
  <c r="H62" i="1" s="1"/>
  <c r="S62" i="1"/>
  <c r="V62" i="1" s="1"/>
  <c r="U65" i="1"/>
  <c r="U84" i="1"/>
  <c r="Z33" i="1"/>
  <c r="X33" i="1"/>
  <c r="Y33" i="1" s="1"/>
  <c r="Z87" i="1"/>
  <c r="X87" i="1"/>
  <c r="Y87" i="1" s="1"/>
  <c r="S165" i="1"/>
  <c r="V165" i="1" s="1"/>
  <c r="R158" i="1"/>
  <c r="H158" i="1" s="1"/>
  <c r="U158" i="1"/>
  <c r="Z83" i="1"/>
  <c r="X83" i="1"/>
  <c r="Y83" i="1" s="1"/>
  <c r="R58" i="1"/>
  <c r="H58" i="1" s="1"/>
  <c r="S58" i="1"/>
  <c r="V58" i="1" s="1"/>
  <c r="Z65" i="1"/>
  <c r="X65" i="1"/>
  <c r="Y65" i="1" s="1"/>
  <c r="X119" i="1"/>
  <c r="Y119" i="1" s="1"/>
  <c r="Z119" i="1"/>
  <c r="Z39" i="1"/>
  <c r="X39" i="1"/>
  <c r="Y39" i="1" s="1"/>
  <c r="AD56" i="1"/>
  <c r="AA56" i="1"/>
  <c r="R109" i="1"/>
  <c r="H109" i="1" s="1"/>
  <c r="S109" i="1"/>
  <c r="V109" i="1" s="1"/>
  <c r="X115" i="1"/>
  <c r="Y115" i="1" s="1"/>
  <c r="Z111" i="1"/>
  <c r="X111" i="1"/>
  <c r="Y111" i="1" s="1"/>
  <c r="R176" i="1"/>
  <c r="H176" i="1" s="1"/>
  <c r="S176" i="1"/>
  <c r="V176" i="1" s="1"/>
  <c r="U58" i="1"/>
  <c r="R68" i="1"/>
  <c r="H68" i="1" s="1"/>
  <c r="S68" i="1"/>
  <c r="V68" i="1" s="1"/>
  <c r="X97" i="1"/>
  <c r="Y97" i="1" s="1"/>
  <c r="Z97" i="1"/>
  <c r="S96" i="1"/>
  <c r="V96" i="1" s="1"/>
  <c r="X155" i="1"/>
  <c r="Y155" i="1" s="1"/>
  <c r="Z155" i="1"/>
  <c r="S100" i="1"/>
  <c r="V100" i="1" s="1"/>
  <c r="AA117" i="1"/>
  <c r="AD117" i="1"/>
  <c r="U99" i="1"/>
  <c r="X161" i="1"/>
  <c r="Y161" i="1" s="1"/>
  <c r="U28" i="1"/>
  <c r="U60" i="1"/>
  <c r="X79" i="1"/>
  <c r="Y79" i="1" s="1"/>
  <c r="Z79" i="1"/>
  <c r="R82" i="1"/>
  <c r="H82" i="1" s="1"/>
  <c r="S82" i="1"/>
  <c r="V82" i="1" s="1"/>
  <c r="X93" i="1"/>
  <c r="Y93" i="1" s="1"/>
  <c r="Z93" i="1"/>
  <c r="AD35" i="1"/>
  <c r="AA35" i="1"/>
  <c r="U96" i="1"/>
  <c r="Z130" i="1"/>
  <c r="X130" i="1"/>
  <c r="Y130" i="1" s="1"/>
  <c r="X143" i="1"/>
  <c r="Y143" i="1" s="1"/>
  <c r="Z143" i="1"/>
  <c r="S49" i="1"/>
  <c r="V49" i="1" s="1"/>
  <c r="U100" i="1"/>
  <c r="S173" i="1"/>
  <c r="V173" i="1" s="1"/>
  <c r="U19" i="1"/>
  <c r="S19" i="1"/>
  <c r="V19" i="1" s="1"/>
  <c r="B10" i="7"/>
  <c r="B24" i="7"/>
  <c r="B8" i="7"/>
  <c r="B3" i="7"/>
  <c r="B23" i="7"/>
  <c r="B7" i="7"/>
  <c r="B25" i="7"/>
  <c r="B38" i="7"/>
  <c r="B22" i="7"/>
  <c r="B6" i="7"/>
  <c r="B11" i="7"/>
  <c r="B37" i="7"/>
  <c r="B21" i="7"/>
  <c r="B5" i="7"/>
  <c r="B26" i="7"/>
  <c r="B36" i="7"/>
  <c r="B20" i="7"/>
  <c r="B4" i="7"/>
  <c r="B35" i="7"/>
  <c r="B19" i="7"/>
  <c r="B34" i="7"/>
  <c r="W4" i="9"/>
  <c r="N4" i="9"/>
  <c r="K4" i="9"/>
  <c r="T4" i="9"/>
  <c r="Q4" i="9"/>
  <c r="E12" i="6"/>
  <c r="W31" i="6"/>
  <c r="W18" i="6"/>
  <c r="W35" i="6"/>
  <c r="W3" i="6"/>
  <c r="W43" i="6"/>
  <c r="W14" i="6"/>
  <c r="W40" i="6"/>
  <c r="W27" i="6"/>
  <c r="W10" i="6"/>
  <c r="W39" i="6"/>
  <c r="W22" i="6"/>
  <c r="W6" i="6"/>
  <c r="W36" i="6"/>
  <c r="W32" i="6"/>
  <c r="W28" i="6"/>
  <c r="W24" i="6"/>
  <c r="W19" i="6"/>
  <c r="W15" i="6"/>
  <c r="W11" i="6"/>
  <c r="W7" i="6"/>
  <c r="W42" i="6"/>
  <c r="W38" i="6"/>
  <c r="W34" i="6"/>
  <c r="W30" i="6"/>
  <c r="W26" i="6"/>
  <c r="W21" i="6"/>
  <c r="W17" i="6"/>
  <c r="W13" i="6"/>
  <c r="W9" i="6"/>
  <c r="W5" i="6"/>
  <c r="W41" i="6"/>
  <c r="W37" i="6"/>
  <c r="W33" i="6"/>
  <c r="W29" i="6"/>
  <c r="W25" i="6"/>
  <c r="W20" i="6"/>
  <c r="W16" i="6"/>
  <c r="W12" i="6"/>
  <c r="W8" i="6"/>
  <c r="Z132" i="1" l="1"/>
  <c r="AD132" i="1" s="1"/>
  <c r="Z103" i="1"/>
  <c r="AA103" i="1" s="1"/>
  <c r="AD85" i="1"/>
  <c r="Z174" i="1"/>
  <c r="Z164" i="1"/>
  <c r="X150" i="1"/>
  <c r="Y150" i="1" s="1"/>
  <c r="Z146" i="1"/>
  <c r="AA146" i="1" s="1"/>
  <c r="Z152" i="1"/>
  <c r="X41" i="1"/>
  <c r="Y41" i="1" s="1"/>
  <c r="X157" i="1"/>
  <c r="Y157" i="1" s="1"/>
  <c r="AA21" i="1"/>
  <c r="I126" i="1"/>
  <c r="X74" i="1"/>
  <c r="Y74" i="1" s="1"/>
  <c r="AD47" i="1"/>
  <c r="AE47" i="1" s="1"/>
  <c r="AF47" i="1" s="1"/>
  <c r="I47" i="1" s="1"/>
  <c r="Z91" i="1"/>
  <c r="X51" i="1"/>
  <c r="Y51" i="1" s="1"/>
  <c r="X110" i="1"/>
  <c r="Y110" i="1" s="1"/>
  <c r="X85" i="1"/>
  <c r="Y85" i="1" s="1"/>
  <c r="X112" i="1"/>
  <c r="Y112" i="1" s="1"/>
  <c r="Z127" i="1"/>
  <c r="AA127" i="1" s="1"/>
  <c r="X151" i="1"/>
  <c r="Y151" i="1" s="1"/>
  <c r="Z151" i="1"/>
  <c r="X106" i="1"/>
  <c r="Y106" i="1" s="1"/>
  <c r="X27" i="1"/>
  <c r="Y27" i="1" s="1"/>
  <c r="Z53" i="1"/>
  <c r="X53" i="1"/>
  <c r="Y53" i="1" s="1"/>
  <c r="X56" i="1"/>
  <c r="Y56" i="1" s="1"/>
  <c r="X154" i="1"/>
  <c r="Y154" i="1" s="1"/>
  <c r="Z154" i="1"/>
  <c r="X95" i="1"/>
  <c r="Y95" i="1" s="1"/>
  <c r="Z95" i="1"/>
  <c r="X89" i="1"/>
  <c r="Y89" i="1" s="1"/>
  <c r="Z89" i="1"/>
  <c r="AD129" i="1"/>
  <c r="AE129" i="1" s="1"/>
  <c r="AF129" i="1" s="1"/>
  <c r="I129" i="1" s="1"/>
  <c r="AA135" i="1"/>
  <c r="AD135" i="1"/>
  <c r="AD136" i="1"/>
  <c r="AA136" i="1"/>
  <c r="Z36" i="1"/>
  <c r="X36" i="1"/>
  <c r="Y36" i="1" s="1"/>
  <c r="X120" i="1"/>
  <c r="Y120" i="1" s="1"/>
  <c r="X45" i="1"/>
  <c r="Y45" i="1" s="1"/>
  <c r="Z45" i="1"/>
  <c r="I105" i="1"/>
  <c r="X177" i="1"/>
  <c r="Y177" i="1" s="1"/>
  <c r="Z177" i="1"/>
  <c r="Z134" i="1"/>
  <c r="AA134" i="1" s="1"/>
  <c r="Z94" i="1"/>
  <c r="AA94" i="1" s="1"/>
  <c r="X30" i="1"/>
  <c r="Y30" i="1" s="1"/>
  <c r="Z30" i="1"/>
  <c r="X162" i="1"/>
  <c r="Y162" i="1" s="1"/>
  <c r="Z162" i="1"/>
  <c r="X160" i="1"/>
  <c r="Y160" i="1" s="1"/>
  <c r="Z160" i="1"/>
  <c r="X168" i="1"/>
  <c r="Y168" i="1" s="1"/>
  <c r="Z168" i="1"/>
  <c r="X172" i="1"/>
  <c r="Y172" i="1" s="1"/>
  <c r="Z172" i="1"/>
  <c r="AG121" i="1"/>
  <c r="AH121" i="1" s="1"/>
  <c r="J121" i="1" s="1"/>
  <c r="AE121" i="1"/>
  <c r="AG32" i="1"/>
  <c r="AE32" i="1"/>
  <c r="AF32" i="1" s="1"/>
  <c r="I32" i="1" s="1"/>
  <c r="AG56" i="1"/>
  <c r="AH56" i="1" s="1"/>
  <c r="J56" i="1" s="1"/>
  <c r="AE56" i="1"/>
  <c r="AF56" i="1" s="1"/>
  <c r="AG55" i="1"/>
  <c r="AH55" i="1" s="1"/>
  <c r="J55" i="1" s="1"/>
  <c r="AE55" i="1"/>
  <c r="AF55" i="1" s="1"/>
  <c r="I55" i="1" s="1"/>
  <c r="AG117" i="1"/>
  <c r="AH117" i="1" s="1"/>
  <c r="J117" i="1" s="1"/>
  <c r="AE117" i="1"/>
  <c r="AF117" i="1" s="1"/>
  <c r="I117" i="1" s="1"/>
  <c r="AG142" i="1"/>
  <c r="AH142" i="1" s="1"/>
  <c r="J142" i="1" s="1"/>
  <c r="AE142" i="1"/>
  <c r="AF142" i="1" s="1"/>
  <c r="I142" i="1" s="1"/>
  <c r="AG63" i="1"/>
  <c r="AH63" i="1" s="1"/>
  <c r="J63" i="1" s="1"/>
  <c r="AE63" i="1"/>
  <c r="AF63" i="1" s="1"/>
  <c r="I63" i="1" s="1"/>
  <c r="AG35" i="1"/>
  <c r="AH35" i="1" s="1"/>
  <c r="J35" i="1" s="1"/>
  <c r="AE35" i="1"/>
  <c r="AF35" i="1" s="1"/>
  <c r="I35" i="1" s="1"/>
  <c r="AG138" i="1"/>
  <c r="AH138" i="1" s="1"/>
  <c r="J138" i="1" s="1"/>
  <c r="AE138" i="1"/>
  <c r="AF138" i="1" s="1"/>
  <c r="I138" i="1" s="1"/>
  <c r="AG47" i="1"/>
  <c r="AH47" i="1" s="1"/>
  <c r="J47" i="1" s="1"/>
  <c r="AG85" i="1"/>
  <c r="AH85" i="1" s="1"/>
  <c r="J85" i="1" s="1"/>
  <c r="AE85" i="1"/>
  <c r="AF85" i="1" s="1"/>
  <c r="I85" i="1" s="1"/>
  <c r="AG21" i="1"/>
  <c r="AH21" i="1" s="1"/>
  <c r="J21" i="1" s="1"/>
  <c r="AE21" i="1"/>
  <c r="AF21" i="1" s="1"/>
  <c r="I21" i="1" s="1"/>
  <c r="X98" i="1"/>
  <c r="Y98" i="1" s="1"/>
  <c r="Z98" i="1"/>
  <c r="X166" i="1"/>
  <c r="Y166" i="1" s="1"/>
  <c r="Z166" i="1"/>
  <c r="AA67" i="1"/>
  <c r="AD67" i="1"/>
  <c r="AD171" i="1"/>
  <c r="AA171" i="1"/>
  <c r="AA108" i="1"/>
  <c r="AD108" i="1"/>
  <c r="AA118" i="1"/>
  <c r="AD118" i="1"/>
  <c r="AD41" i="1"/>
  <c r="AA41" i="1"/>
  <c r="X68" i="1"/>
  <c r="Y68" i="1" s="1"/>
  <c r="Z68" i="1"/>
  <c r="AD39" i="1"/>
  <c r="AA39" i="1"/>
  <c r="AA107" i="1"/>
  <c r="AD107" i="1"/>
  <c r="X84" i="1"/>
  <c r="Y84" i="1" s="1"/>
  <c r="Z84" i="1"/>
  <c r="X24" i="1"/>
  <c r="Y24" i="1" s="1"/>
  <c r="Z24" i="1"/>
  <c r="X78" i="1"/>
  <c r="Y78" i="1" s="1"/>
  <c r="Z78" i="1"/>
  <c r="AA143" i="1"/>
  <c r="AD143" i="1"/>
  <c r="AA158" i="1"/>
  <c r="AD158" i="1"/>
  <c r="AA130" i="1"/>
  <c r="AD130" i="1"/>
  <c r="AD119" i="1"/>
  <c r="AA119" i="1"/>
  <c r="Z124" i="1"/>
  <c r="X124" i="1"/>
  <c r="Y124" i="1" s="1"/>
  <c r="AD104" i="1"/>
  <c r="AA104" i="1"/>
  <c r="AH32" i="1"/>
  <c r="J32" i="1" s="1"/>
  <c r="AD66" i="1"/>
  <c r="AA66" i="1"/>
  <c r="AD43" i="1"/>
  <c r="AA43" i="1"/>
  <c r="AA112" i="1"/>
  <c r="AD112" i="1"/>
  <c r="AA164" i="1"/>
  <c r="AD164" i="1"/>
  <c r="AA59" i="1"/>
  <c r="AD59" i="1"/>
  <c r="X156" i="1"/>
  <c r="Y156" i="1" s="1"/>
  <c r="Z156" i="1"/>
  <c r="AD150" i="1"/>
  <c r="AA150" i="1"/>
  <c r="AA175" i="1"/>
  <c r="AD175" i="1"/>
  <c r="AA77" i="1"/>
  <c r="AD77" i="1"/>
  <c r="X88" i="1"/>
  <c r="Y88" i="1" s="1"/>
  <c r="Z88" i="1"/>
  <c r="AA159" i="1"/>
  <c r="AD159" i="1"/>
  <c r="X52" i="1"/>
  <c r="Y52" i="1" s="1"/>
  <c r="Z52" i="1"/>
  <c r="X70" i="1"/>
  <c r="Y70" i="1" s="1"/>
  <c r="Z70" i="1"/>
  <c r="X46" i="1"/>
  <c r="Y46" i="1" s="1"/>
  <c r="Z46" i="1"/>
  <c r="Z60" i="1"/>
  <c r="X60" i="1"/>
  <c r="Y60" i="1" s="1"/>
  <c r="AA131" i="1"/>
  <c r="AD131" i="1"/>
  <c r="AD141" i="1"/>
  <c r="AA141" i="1"/>
  <c r="Z149" i="1"/>
  <c r="X149" i="1"/>
  <c r="Y149" i="1" s="1"/>
  <c r="Z38" i="1"/>
  <c r="X38" i="1"/>
  <c r="Y38" i="1" s="1"/>
  <c r="Z44" i="1"/>
  <c r="X44" i="1"/>
  <c r="Y44" i="1" s="1"/>
  <c r="Z64" i="1"/>
  <c r="X64" i="1"/>
  <c r="Y64" i="1" s="1"/>
  <c r="AD48" i="1"/>
  <c r="AA48" i="1"/>
  <c r="AD20" i="1"/>
  <c r="AA20" i="1"/>
  <c r="AA65" i="1"/>
  <c r="AD65" i="1"/>
  <c r="AD93" i="1"/>
  <c r="AA93" i="1"/>
  <c r="Z176" i="1"/>
  <c r="X176" i="1"/>
  <c r="Y176" i="1" s="1"/>
  <c r="Z58" i="1"/>
  <c r="X58" i="1"/>
  <c r="Y58" i="1" s="1"/>
  <c r="AD33" i="1"/>
  <c r="AA33" i="1"/>
  <c r="X54" i="1"/>
  <c r="Y54" i="1" s="1"/>
  <c r="Z54" i="1"/>
  <c r="AD128" i="1"/>
  <c r="AA128" i="1"/>
  <c r="X80" i="1"/>
  <c r="Y80" i="1" s="1"/>
  <c r="Z80" i="1"/>
  <c r="X133" i="1"/>
  <c r="Y133" i="1" s="1"/>
  <c r="Z133" i="1"/>
  <c r="AD23" i="1"/>
  <c r="AA23" i="1"/>
  <c r="AA97" i="1"/>
  <c r="AD97" i="1"/>
  <c r="AA114" i="1"/>
  <c r="AD114" i="1"/>
  <c r="AA147" i="1"/>
  <c r="AD147" i="1"/>
  <c r="AD87" i="1"/>
  <c r="AA87" i="1"/>
  <c r="AA69" i="1"/>
  <c r="AD69" i="1"/>
  <c r="Z100" i="1"/>
  <c r="X100" i="1"/>
  <c r="Y100" i="1" s="1"/>
  <c r="Z178" i="1"/>
  <c r="X178" i="1"/>
  <c r="Y178" i="1" s="1"/>
  <c r="AD144" i="1"/>
  <c r="AA144" i="1"/>
  <c r="AA152" i="1"/>
  <c r="AD152" i="1"/>
  <c r="Z22" i="1"/>
  <c r="X22" i="1"/>
  <c r="Y22" i="1" s="1"/>
  <c r="Z76" i="1"/>
  <c r="X76" i="1"/>
  <c r="Y76" i="1" s="1"/>
  <c r="X82" i="1"/>
  <c r="Y82" i="1" s="1"/>
  <c r="Z82" i="1"/>
  <c r="AA155" i="1"/>
  <c r="AD155" i="1"/>
  <c r="AA170" i="1"/>
  <c r="AD170" i="1"/>
  <c r="AD86" i="1"/>
  <c r="AA86" i="1"/>
  <c r="AD57" i="1"/>
  <c r="AA57" i="1"/>
  <c r="Z167" i="1"/>
  <c r="X167" i="1"/>
  <c r="Y167" i="1" s="1"/>
  <c r="X169" i="1"/>
  <c r="Y169" i="1" s="1"/>
  <c r="Z169" i="1"/>
  <c r="X72" i="1"/>
  <c r="Y72" i="1" s="1"/>
  <c r="Z72" i="1"/>
  <c r="AA139" i="1"/>
  <c r="AD139" i="1"/>
  <c r="AA113" i="1"/>
  <c r="AD113" i="1"/>
  <c r="AD51" i="1"/>
  <c r="AA51" i="1"/>
  <c r="AA111" i="1"/>
  <c r="AD111" i="1"/>
  <c r="AA83" i="1"/>
  <c r="AD83" i="1"/>
  <c r="X62" i="1"/>
  <c r="Y62" i="1" s="1"/>
  <c r="Z62" i="1"/>
  <c r="AD26" i="1"/>
  <c r="AA26" i="1"/>
  <c r="AD140" i="1"/>
  <c r="AA140" i="1"/>
  <c r="AD123" i="1"/>
  <c r="AA123" i="1"/>
  <c r="AA157" i="1"/>
  <c r="AD157" i="1"/>
  <c r="AA101" i="1"/>
  <c r="AD101" i="1"/>
  <c r="X137" i="1"/>
  <c r="Y137" i="1" s="1"/>
  <c r="Z137" i="1"/>
  <c r="X145" i="1"/>
  <c r="Y145" i="1" s="1"/>
  <c r="Z145" i="1"/>
  <c r="AD81" i="1"/>
  <c r="AA81" i="1"/>
  <c r="X40" i="1"/>
  <c r="Y40" i="1" s="1"/>
  <c r="Z40" i="1"/>
  <c r="AD120" i="1"/>
  <c r="AA120" i="1"/>
  <c r="AD27" i="1"/>
  <c r="AA27" i="1"/>
  <c r="AF121" i="1"/>
  <c r="I121" i="1" s="1"/>
  <c r="AD148" i="1"/>
  <c r="AA148" i="1"/>
  <c r="AD79" i="1"/>
  <c r="AA79" i="1"/>
  <c r="AA115" i="1"/>
  <c r="AD115" i="1"/>
  <c r="Z109" i="1"/>
  <c r="X109" i="1"/>
  <c r="Y109" i="1" s="1"/>
  <c r="X28" i="1"/>
  <c r="Y28" i="1" s="1"/>
  <c r="Z28" i="1"/>
  <c r="AD29" i="1"/>
  <c r="AA29" i="1"/>
  <c r="AD25" i="1"/>
  <c r="AA25" i="1"/>
  <c r="AA73" i="1"/>
  <c r="AD73" i="1"/>
  <c r="AA153" i="1"/>
  <c r="AD153" i="1"/>
  <c r="AA110" i="1"/>
  <c r="AD110" i="1"/>
  <c r="X122" i="1"/>
  <c r="Y122" i="1" s="1"/>
  <c r="Z122" i="1"/>
  <c r="AA102" i="1"/>
  <c r="AD102" i="1"/>
  <c r="AD37" i="1"/>
  <c r="AA37" i="1"/>
  <c r="AD42" i="1"/>
  <c r="AA42" i="1"/>
  <c r="AA99" i="1"/>
  <c r="AD99" i="1"/>
  <c r="X173" i="1"/>
  <c r="Y173" i="1" s="1"/>
  <c r="Z173" i="1"/>
  <c r="Z92" i="1"/>
  <c r="X92" i="1"/>
  <c r="Y92" i="1" s="1"/>
  <c r="AD31" i="1"/>
  <c r="AA31" i="1"/>
  <c r="Z125" i="1"/>
  <c r="X125" i="1"/>
  <c r="Y125" i="1" s="1"/>
  <c r="AA106" i="1"/>
  <c r="AD106" i="1"/>
  <c r="AD71" i="1"/>
  <c r="AA71" i="1"/>
  <c r="AA90" i="1"/>
  <c r="AD90" i="1"/>
  <c r="Z49" i="1"/>
  <c r="X49" i="1"/>
  <c r="Y49" i="1" s="1"/>
  <c r="AD161" i="1"/>
  <c r="AA161" i="1"/>
  <c r="X96" i="1"/>
  <c r="Y96" i="1" s="1"/>
  <c r="Z96" i="1"/>
  <c r="X165" i="1"/>
  <c r="Y165" i="1" s="1"/>
  <c r="Z165" i="1"/>
  <c r="AD75" i="1"/>
  <c r="AA75" i="1"/>
  <c r="AA74" i="1"/>
  <c r="AD74" i="1"/>
  <c r="AD50" i="1"/>
  <c r="AA50" i="1"/>
  <c r="Z34" i="1"/>
  <c r="X34" i="1"/>
  <c r="Y34" i="1" s="1"/>
  <c r="AD116" i="1"/>
  <c r="AA116" i="1"/>
  <c r="AA163" i="1"/>
  <c r="AD163" i="1"/>
  <c r="X19" i="1"/>
  <c r="Y19" i="1" s="1"/>
  <c r="Z19" i="1"/>
  <c r="J8" i="1"/>
  <c r="I8" i="1"/>
  <c r="G4" i="1"/>
  <c r="F4" i="1"/>
  <c r="K4" i="1" s="1"/>
  <c r="N4" i="1" s="1"/>
  <c r="AD146" i="1" l="1"/>
  <c r="AG146" i="1" s="1"/>
  <c r="AH146" i="1" s="1"/>
  <c r="J146" i="1" s="1"/>
  <c r="AD103" i="1"/>
  <c r="AG103" i="1" s="1"/>
  <c r="AH103" i="1" s="1"/>
  <c r="J103" i="1" s="1"/>
  <c r="AA132" i="1"/>
  <c r="AA174" i="1"/>
  <c r="AD174" i="1"/>
  <c r="I56" i="1"/>
  <c r="AA91" i="1"/>
  <c r="AD91" i="1"/>
  <c r="AA154" i="1"/>
  <c r="AD154" i="1"/>
  <c r="AD95" i="1"/>
  <c r="AA95" i="1"/>
  <c r="AD94" i="1"/>
  <c r="AE94" i="1" s="1"/>
  <c r="AF94" i="1" s="1"/>
  <c r="I94" i="1" s="1"/>
  <c r="AG129" i="1"/>
  <c r="AH129" i="1" s="1"/>
  <c r="J129" i="1" s="1"/>
  <c r="AD127" i="1"/>
  <c r="AE127" i="1" s="1"/>
  <c r="AF127" i="1" s="1"/>
  <c r="I127" i="1" s="1"/>
  <c r="AD53" i="1"/>
  <c r="AA53" i="1"/>
  <c r="AD134" i="1"/>
  <c r="AE134" i="1" s="1"/>
  <c r="AF134" i="1" s="1"/>
  <c r="I134" i="1" s="1"/>
  <c r="AD151" i="1"/>
  <c r="AA151" i="1"/>
  <c r="AA177" i="1"/>
  <c r="AD177" i="1"/>
  <c r="AA168" i="1"/>
  <c r="AD168" i="1"/>
  <c r="AD45" i="1"/>
  <c r="AA45" i="1"/>
  <c r="AD172" i="1"/>
  <c r="AA172" i="1"/>
  <c r="AA160" i="1"/>
  <c r="AD160" i="1"/>
  <c r="AA36" i="1"/>
  <c r="AD36" i="1"/>
  <c r="AD162" i="1"/>
  <c r="AA162" i="1"/>
  <c r="AE136" i="1"/>
  <c r="AF136" i="1" s="1"/>
  <c r="I136" i="1" s="1"/>
  <c r="AG136" i="1"/>
  <c r="AH136" i="1" s="1"/>
  <c r="J136" i="1" s="1"/>
  <c r="AD30" i="1"/>
  <c r="AA30" i="1"/>
  <c r="AG135" i="1"/>
  <c r="AH135" i="1" s="1"/>
  <c r="J135" i="1" s="1"/>
  <c r="AE135" i="1"/>
  <c r="AF135" i="1" s="1"/>
  <c r="I135" i="1" s="1"/>
  <c r="AA89" i="1"/>
  <c r="AD89" i="1"/>
  <c r="AE114" i="1"/>
  <c r="AF114" i="1" s="1"/>
  <c r="I114" i="1" s="1"/>
  <c r="AG114" i="1"/>
  <c r="AH114" i="1" s="1"/>
  <c r="J114" i="1" s="1"/>
  <c r="AG37" i="1"/>
  <c r="AE37" i="1"/>
  <c r="AF37" i="1" s="1"/>
  <c r="I37" i="1" s="1"/>
  <c r="AG25" i="1"/>
  <c r="AH25" i="1" s="1"/>
  <c r="J25" i="1" s="1"/>
  <c r="AE25" i="1"/>
  <c r="AF25" i="1" s="1"/>
  <c r="I25" i="1" s="1"/>
  <c r="AG27" i="1"/>
  <c r="AH27" i="1" s="1"/>
  <c r="J27" i="1" s="1"/>
  <c r="AE27" i="1"/>
  <c r="AF27" i="1" s="1"/>
  <c r="I27" i="1" s="1"/>
  <c r="AG57" i="1"/>
  <c r="AH57" i="1" s="1"/>
  <c r="J57" i="1" s="1"/>
  <c r="AE57" i="1"/>
  <c r="AF57" i="1" s="1"/>
  <c r="I57" i="1" s="1"/>
  <c r="AG20" i="1"/>
  <c r="AH20" i="1" s="1"/>
  <c r="J20" i="1" s="1"/>
  <c r="AE20" i="1"/>
  <c r="AF20" i="1" s="1"/>
  <c r="I20" i="1" s="1"/>
  <c r="AG171" i="1"/>
  <c r="AE171" i="1"/>
  <c r="AF171" i="1" s="1"/>
  <c r="I171" i="1" s="1"/>
  <c r="AG83" i="1"/>
  <c r="AH83" i="1" s="1"/>
  <c r="J83" i="1" s="1"/>
  <c r="AE83" i="1"/>
  <c r="AF83" i="1" s="1"/>
  <c r="I83" i="1" s="1"/>
  <c r="AG75" i="1"/>
  <c r="AH75" i="1" s="1"/>
  <c r="J75" i="1" s="1"/>
  <c r="AE75" i="1"/>
  <c r="AF75" i="1" s="1"/>
  <c r="I75" i="1" s="1"/>
  <c r="AG29" i="1"/>
  <c r="AH29" i="1" s="1"/>
  <c r="J29" i="1" s="1"/>
  <c r="AE29" i="1"/>
  <c r="AF29" i="1" s="1"/>
  <c r="I29" i="1" s="1"/>
  <c r="AG120" i="1"/>
  <c r="AH120" i="1" s="1"/>
  <c r="J120" i="1" s="1"/>
  <c r="AE120" i="1"/>
  <c r="AF120" i="1" s="1"/>
  <c r="I120" i="1" s="1"/>
  <c r="AG86" i="1"/>
  <c r="AH86" i="1" s="1"/>
  <c r="J86" i="1" s="1"/>
  <c r="AE86" i="1"/>
  <c r="AF86" i="1" s="1"/>
  <c r="I86" i="1" s="1"/>
  <c r="AG144" i="1"/>
  <c r="AH144" i="1" s="1"/>
  <c r="J144" i="1" s="1"/>
  <c r="AE144" i="1"/>
  <c r="AF144" i="1" s="1"/>
  <c r="I144" i="1" s="1"/>
  <c r="AG33" i="1"/>
  <c r="AH33" i="1" s="1"/>
  <c r="J33" i="1" s="1"/>
  <c r="AE33" i="1"/>
  <c r="AF33" i="1" s="1"/>
  <c r="I33" i="1" s="1"/>
  <c r="AG119" i="1"/>
  <c r="AH119" i="1" s="1"/>
  <c r="J119" i="1" s="1"/>
  <c r="AE119" i="1"/>
  <c r="AF119" i="1" s="1"/>
  <c r="I119" i="1" s="1"/>
  <c r="AG39" i="1"/>
  <c r="AH39" i="1" s="1"/>
  <c r="J39" i="1" s="1"/>
  <c r="AE39" i="1"/>
  <c r="AF39" i="1" s="1"/>
  <c r="I39" i="1" s="1"/>
  <c r="AG152" i="1"/>
  <c r="AH152" i="1" s="1"/>
  <c r="J152" i="1" s="1"/>
  <c r="AE152" i="1"/>
  <c r="AF152" i="1" s="1"/>
  <c r="I152" i="1" s="1"/>
  <c r="AG48" i="1"/>
  <c r="AH48" i="1" s="1"/>
  <c r="J48" i="1" s="1"/>
  <c r="AE48" i="1"/>
  <c r="AF48" i="1" s="1"/>
  <c r="I48" i="1" s="1"/>
  <c r="AE97" i="1"/>
  <c r="AF97" i="1" s="1"/>
  <c r="I97" i="1" s="1"/>
  <c r="AG97" i="1"/>
  <c r="AH97" i="1" s="1"/>
  <c r="J97" i="1" s="1"/>
  <c r="AG51" i="1"/>
  <c r="AH51" i="1" s="1"/>
  <c r="J51" i="1" s="1"/>
  <c r="AE51" i="1"/>
  <c r="AF51" i="1" s="1"/>
  <c r="I51" i="1" s="1"/>
  <c r="AG23" i="1"/>
  <c r="AH23" i="1" s="1"/>
  <c r="J23" i="1" s="1"/>
  <c r="AE23" i="1"/>
  <c r="AF23" i="1" s="1"/>
  <c r="I23" i="1" s="1"/>
  <c r="AG163" i="1"/>
  <c r="AH163" i="1" s="1"/>
  <c r="J163" i="1" s="1"/>
  <c r="AE163" i="1"/>
  <c r="AF163" i="1" s="1"/>
  <c r="I163" i="1" s="1"/>
  <c r="AG113" i="1"/>
  <c r="AH113" i="1" s="1"/>
  <c r="J113" i="1" s="1"/>
  <c r="AE113" i="1"/>
  <c r="AF113" i="1" s="1"/>
  <c r="I113" i="1" s="1"/>
  <c r="AG155" i="1"/>
  <c r="AH155" i="1" s="1"/>
  <c r="J155" i="1" s="1"/>
  <c r="AE155" i="1"/>
  <c r="AF155" i="1" s="1"/>
  <c r="I155" i="1" s="1"/>
  <c r="AG77" i="1"/>
  <c r="AH77" i="1" s="1"/>
  <c r="J77" i="1" s="1"/>
  <c r="AE77" i="1"/>
  <c r="AF77" i="1" s="1"/>
  <c r="I77" i="1" s="1"/>
  <c r="AG112" i="1"/>
  <c r="AH112" i="1" s="1"/>
  <c r="J112" i="1" s="1"/>
  <c r="AE112" i="1"/>
  <c r="AF112" i="1" s="1"/>
  <c r="I112" i="1" s="1"/>
  <c r="AG74" i="1"/>
  <c r="AH74" i="1" s="1"/>
  <c r="J74" i="1" s="1"/>
  <c r="AE74" i="1"/>
  <c r="AF74" i="1" s="1"/>
  <c r="I74" i="1" s="1"/>
  <c r="AE110" i="1"/>
  <c r="AF110" i="1" s="1"/>
  <c r="I110" i="1" s="1"/>
  <c r="AG110" i="1"/>
  <c r="AH110" i="1" s="1"/>
  <c r="J110" i="1" s="1"/>
  <c r="AG115" i="1"/>
  <c r="AH115" i="1" s="1"/>
  <c r="J115" i="1" s="1"/>
  <c r="AE115" i="1"/>
  <c r="AF115" i="1" s="1"/>
  <c r="I115" i="1" s="1"/>
  <c r="AG139" i="1"/>
  <c r="AH139" i="1" s="1"/>
  <c r="J139" i="1" s="1"/>
  <c r="AE139" i="1"/>
  <c r="AF139" i="1" s="1"/>
  <c r="I139" i="1" s="1"/>
  <c r="AG175" i="1"/>
  <c r="AH175" i="1" s="1"/>
  <c r="J175" i="1" s="1"/>
  <c r="AE175" i="1"/>
  <c r="AF175" i="1" s="1"/>
  <c r="I175" i="1" s="1"/>
  <c r="AG101" i="1"/>
  <c r="AH101" i="1" s="1"/>
  <c r="J101" i="1" s="1"/>
  <c r="AE101" i="1"/>
  <c r="AF101" i="1" s="1"/>
  <c r="I101" i="1" s="1"/>
  <c r="AG131" i="1"/>
  <c r="AE131" i="1"/>
  <c r="AF131" i="1" s="1"/>
  <c r="I131" i="1" s="1"/>
  <c r="AE161" i="1"/>
  <c r="AF161" i="1" s="1"/>
  <c r="I161" i="1" s="1"/>
  <c r="AG161" i="1"/>
  <c r="AH161" i="1" s="1"/>
  <c r="J161" i="1" s="1"/>
  <c r="AG93" i="1"/>
  <c r="AE93" i="1"/>
  <c r="AF93" i="1" s="1"/>
  <c r="I93" i="1" s="1"/>
  <c r="AG43" i="1"/>
  <c r="AH43" i="1" s="1"/>
  <c r="J43" i="1" s="1"/>
  <c r="AE43" i="1"/>
  <c r="AF43" i="1" s="1"/>
  <c r="I43" i="1" s="1"/>
  <c r="AG41" i="1"/>
  <c r="AH41" i="1" s="1"/>
  <c r="J41" i="1" s="1"/>
  <c r="AE41" i="1"/>
  <c r="AF41" i="1" s="1"/>
  <c r="I41" i="1" s="1"/>
  <c r="AG69" i="1"/>
  <c r="AH69" i="1" s="1"/>
  <c r="J69" i="1" s="1"/>
  <c r="AE69" i="1"/>
  <c r="AF69" i="1" s="1"/>
  <c r="I69" i="1" s="1"/>
  <c r="AG65" i="1"/>
  <c r="AH65" i="1" s="1"/>
  <c r="J65" i="1" s="1"/>
  <c r="AE65" i="1"/>
  <c r="AF65" i="1" s="1"/>
  <c r="I65" i="1" s="1"/>
  <c r="AE118" i="1"/>
  <c r="AF118" i="1" s="1"/>
  <c r="I118" i="1" s="1"/>
  <c r="AG118" i="1"/>
  <c r="AH118" i="1" s="1"/>
  <c r="J118" i="1" s="1"/>
  <c r="AG102" i="1"/>
  <c r="AH102" i="1" s="1"/>
  <c r="J102" i="1" s="1"/>
  <c r="AE102" i="1"/>
  <c r="AF102" i="1" s="1"/>
  <c r="I102" i="1" s="1"/>
  <c r="AG81" i="1"/>
  <c r="AH81" i="1" s="1"/>
  <c r="J81" i="1" s="1"/>
  <c r="AE81" i="1"/>
  <c r="AF81" i="1" s="1"/>
  <c r="I81" i="1" s="1"/>
  <c r="AG79" i="1"/>
  <c r="AH79" i="1" s="1"/>
  <c r="J79" i="1" s="1"/>
  <c r="AE79" i="1"/>
  <c r="AF79" i="1" s="1"/>
  <c r="I79" i="1" s="1"/>
  <c r="AG140" i="1"/>
  <c r="AH140" i="1" s="1"/>
  <c r="J140" i="1" s="1"/>
  <c r="AE140" i="1"/>
  <c r="AF140" i="1" s="1"/>
  <c r="I140" i="1" s="1"/>
  <c r="AE150" i="1"/>
  <c r="AF150" i="1" s="1"/>
  <c r="I150" i="1" s="1"/>
  <c r="AG150" i="1"/>
  <c r="AH150" i="1" s="1"/>
  <c r="J150" i="1" s="1"/>
  <c r="AG66" i="1"/>
  <c r="AH66" i="1" s="1"/>
  <c r="J66" i="1" s="1"/>
  <c r="AE66" i="1"/>
  <c r="AF66" i="1" s="1"/>
  <c r="I66" i="1" s="1"/>
  <c r="AG132" i="1"/>
  <c r="AH132" i="1" s="1"/>
  <c r="J132" i="1" s="1"/>
  <c r="AE132" i="1"/>
  <c r="AF132" i="1" s="1"/>
  <c r="I132" i="1" s="1"/>
  <c r="AG159" i="1"/>
  <c r="AH159" i="1" s="1"/>
  <c r="J159" i="1" s="1"/>
  <c r="AE159" i="1"/>
  <c r="AF159" i="1" s="1"/>
  <c r="I159" i="1" s="1"/>
  <c r="AE130" i="1"/>
  <c r="AG130" i="1"/>
  <c r="AH130" i="1" s="1"/>
  <c r="J130" i="1" s="1"/>
  <c r="AG90" i="1"/>
  <c r="AH90" i="1" s="1"/>
  <c r="J90" i="1" s="1"/>
  <c r="AE90" i="1"/>
  <c r="AF90" i="1" s="1"/>
  <c r="I90" i="1" s="1"/>
  <c r="AG99" i="1"/>
  <c r="AH99" i="1" s="1"/>
  <c r="J99" i="1" s="1"/>
  <c r="AE99" i="1"/>
  <c r="AF99" i="1" s="1"/>
  <c r="I99" i="1" s="1"/>
  <c r="AG153" i="1"/>
  <c r="AH153" i="1" s="1"/>
  <c r="J153" i="1" s="1"/>
  <c r="AE153" i="1"/>
  <c r="AF153" i="1" s="1"/>
  <c r="I153" i="1" s="1"/>
  <c r="AE158" i="1"/>
  <c r="AF158" i="1" s="1"/>
  <c r="I158" i="1" s="1"/>
  <c r="AG158" i="1"/>
  <c r="AH158" i="1" s="1"/>
  <c r="J158" i="1" s="1"/>
  <c r="AG108" i="1"/>
  <c r="AH108" i="1" s="1"/>
  <c r="J108" i="1" s="1"/>
  <c r="AE108" i="1"/>
  <c r="AF108" i="1" s="1"/>
  <c r="I108" i="1" s="1"/>
  <c r="AG106" i="1"/>
  <c r="AH106" i="1" s="1"/>
  <c r="J106" i="1" s="1"/>
  <c r="AE106" i="1"/>
  <c r="AF106" i="1" s="1"/>
  <c r="I106" i="1" s="1"/>
  <c r="AG31" i="1"/>
  <c r="AE31" i="1"/>
  <c r="AF31" i="1" s="1"/>
  <c r="I31" i="1" s="1"/>
  <c r="AG87" i="1"/>
  <c r="AH87" i="1" s="1"/>
  <c r="J87" i="1" s="1"/>
  <c r="AE87" i="1"/>
  <c r="AF87" i="1" s="1"/>
  <c r="I87" i="1" s="1"/>
  <c r="AG111" i="1"/>
  <c r="AH111" i="1" s="1"/>
  <c r="J111" i="1" s="1"/>
  <c r="AE111" i="1"/>
  <c r="AF111" i="1" s="1"/>
  <c r="I111" i="1" s="1"/>
  <c r="AG67" i="1"/>
  <c r="AH67" i="1" s="1"/>
  <c r="J67" i="1" s="1"/>
  <c r="AE67" i="1"/>
  <c r="AF67" i="1" s="1"/>
  <c r="I67" i="1" s="1"/>
  <c r="AG170" i="1"/>
  <c r="AE170" i="1"/>
  <c r="AF170" i="1" s="1"/>
  <c r="I170" i="1" s="1"/>
  <c r="AG164" i="1"/>
  <c r="AH164" i="1" s="1"/>
  <c r="J164" i="1" s="1"/>
  <c r="AE164" i="1"/>
  <c r="AF164" i="1" s="1"/>
  <c r="I164" i="1" s="1"/>
  <c r="AG116" i="1"/>
  <c r="AH116" i="1" s="1"/>
  <c r="J116" i="1" s="1"/>
  <c r="AE116" i="1"/>
  <c r="AF116" i="1" s="1"/>
  <c r="I116" i="1" s="1"/>
  <c r="AG123" i="1"/>
  <c r="AH123" i="1" s="1"/>
  <c r="J123" i="1" s="1"/>
  <c r="AE123" i="1"/>
  <c r="AF123" i="1" s="1"/>
  <c r="I123" i="1" s="1"/>
  <c r="AG26" i="1"/>
  <c r="AH26" i="1" s="1"/>
  <c r="J26" i="1" s="1"/>
  <c r="AE26" i="1"/>
  <c r="AF26" i="1" s="1"/>
  <c r="I26" i="1" s="1"/>
  <c r="AG73" i="1"/>
  <c r="AH73" i="1" s="1"/>
  <c r="J73" i="1" s="1"/>
  <c r="AE73" i="1"/>
  <c r="AF73" i="1" s="1"/>
  <c r="I73" i="1" s="1"/>
  <c r="AG134" i="1"/>
  <c r="AH134" i="1" s="1"/>
  <c r="J134" i="1" s="1"/>
  <c r="AG147" i="1"/>
  <c r="AH147" i="1" s="1"/>
  <c r="J147" i="1" s="1"/>
  <c r="AE147" i="1"/>
  <c r="AF147" i="1" s="1"/>
  <c r="I147" i="1" s="1"/>
  <c r="AG59" i="1"/>
  <c r="AH59" i="1" s="1"/>
  <c r="J59" i="1" s="1"/>
  <c r="AE59" i="1"/>
  <c r="AF59" i="1" s="1"/>
  <c r="I59" i="1" s="1"/>
  <c r="AG143" i="1"/>
  <c r="AH143" i="1" s="1"/>
  <c r="J143" i="1" s="1"/>
  <c r="AE143" i="1"/>
  <c r="AF143" i="1" s="1"/>
  <c r="I143" i="1" s="1"/>
  <c r="AG107" i="1"/>
  <c r="AH107" i="1" s="1"/>
  <c r="J107" i="1" s="1"/>
  <c r="AE107" i="1"/>
  <c r="AF107" i="1" s="1"/>
  <c r="I107" i="1" s="1"/>
  <c r="AG157" i="1"/>
  <c r="AH157" i="1" s="1"/>
  <c r="J157" i="1" s="1"/>
  <c r="AE157" i="1"/>
  <c r="AF157" i="1" s="1"/>
  <c r="I157" i="1" s="1"/>
  <c r="AG148" i="1"/>
  <c r="AH148" i="1" s="1"/>
  <c r="J148" i="1" s="1"/>
  <c r="AE148" i="1"/>
  <c r="AF148" i="1" s="1"/>
  <c r="I148" i="1" s="1"/>
  <c r="AG50" i="1"/>
  <c r="AE50" i="1"/>
  <c r="AF50" i="1" s="1"/>
  <c r="I50" i="1" s="1"/>
  <c r="AG71" i="1"/>
  <c r="AH71" i="1" s="1"/>
  <c r="J71" i="1" s="1"/>
  <c r="AE71" i="1"/>
  <c r="AF71" i="1" s="1"/>
  <c r="I71" i="1" s="1"/>
  <c r="AG42" i="1"/>
  <c r="AH42" i="1" s="1"/>
  <c r="J42" i="1" s="1"/>
  <c r="AE42" i="1"/>
  <c r="AF42" i="1" s="1"/>
  <c r="I42" i="1" s="1"/>
  <c r="AG128" i="1"/>
  <c r="AH128" i="1" s="1"/>
  <c r="J128" i="1" s="1"/>
  <c r="AE128" i="1"/>
  <c r="AF128" i="1" s="1"/>
  <c r="I128" i="1" s="1"/>
  <c r="AG141" i="1"/>
  <c r="AH141" i="1" s="1"/>
  <c r="J141" i="1" s="1"/>
  <c r="AE141" i="1"/>
  <c r="AF141" i="1" s="1"/>
  <c r="I141" i="1" s="1"/>
  <c r="AG104" i="1"/>
  <c r="AH104" i="1" s="1"/>
  <c r="J104" i="1" s="1"/>
  <c r="AE104" i="1"/>
  <c r="AF104" i="1" s="1"/>
  <c r="I104" i="1" s="1"/>
  <c r="AD44" i="1"/>
  <c r="AA44" i="1"/>
  <c r="AA70" i="1"/>
  <c r="AD70" i="1"/>
  <c r="AD34" i="1"/>
  <c r="AA34" i="1"/>
  <c r="AD49" i="1"/>
  <c r="AA49" i="1"/>
  <c r="AD38" i="1"/>
  <c r="AA38" i="1"/>
  <c r="AD24" i="1"/>
  <c r="AA24" i="1"/>
  <c r="AD169" i="1"/>
  <c r="AA169" i="1"/>
  <c r="AA156" i="1"/>
  <c r="AD156" i="1"/>
  <c r="AA84" i="1"/>
  <c r="AD84" i="1"/>
  <c r="AD76" i="1"/>
  <c r="AA76" i="1"/>
  <c r="AA149" i="1"/>
  <c r="AD149" i="1"/>
  <c r="AA72" i="1"/>
  <c r="AD72" i="1"/>
  <c r="AD62" i="1"/>
  <c r="AA62" i="1"/>
  <c r="AD52" i="1"/>
  <c r="AA52" i="1"/>
  <c r="AD145" i="1"/>
  <c r="AA145" i="1"/>
  <c r="AH50" i="1"/>
  <c r="J50" i="1" s="1"/>
  <c r="AD167" i="1"/>
  <c r="AA167" i="1"/>
  <c r="AD22" i="1"/>
  <c r="AA22" i="1"/>
  <c r="AD173" i="1"/>
  <c r="AA173" i="1"/>
  <c r="AA80" i="1"/>
  <c r="AD80" i="1"/>
  <c r="AD137" i="1"/>
  <c r="AA137" i="1"/>
  <c r="AD54" i="1"/>
  <c r="AA54" i="1"/>
  <c r="AA78" i="1"/>
  <c r="AD78" i="1"/>
  <c r="AA82" i="1"/>
  <c r="AD82" i="1"/>
  <c r="AH37" i="1"/>
  <c r="J37" i="1" s="1"/>
  <c r="AD124" i="1"/>
  <c r="AA124" i="1"/>
  <c r="AH171" i="1"/>
  <c r="J171" i="1" s="1"/>
  <c r="AD46" i="1"/>
  <c r="AA46" i="1"/>
  <c r="AH131" i="1"/>
  <c r="J131" i="1" s="1"/>
  <c r="AA125" i="1"/>
  <c r="AD125" i="1"/>
  <c r="AA92" i="1"/>
  <c r="AD92" i="1"/>
  <c r="AH93" i="1"/>
  <c r="J93" i="1" s="1"/>
  <c r="AA165" i="1"/>
  <c r="AD165" i="1"/>
  <c r="AD28" i="1"/>
  <c r="AA28" i="1"/>
  <c r="AH170" i="1"/>
  <c r="J170" i="1" s="1"/>
  <c r="AD88" i="1"/>
  <c r="AA88" i="1"/>
  <c r="AF130" i="1"/>
  <c r="I130" i="1" s="1"/>
  <c r="AA68" i="1"/>
  <c r="AD68" i="1"/>
  <c r="AA166" i="1"/>
  <c r="AD166" i="1"/>
  <c r="AA96" i="1"/>
  <c r="AD96" i="1"/>
  <c r="AA122" i="1"/>
  <c r="AD122" i="1"/>
  <c r="AD40" i="1"/>
  <c r="AA40" i="1"/>
  <c r="AA133" i="1"/>
  <c r="AD133" i="1"/>
  <c r="AA98" i="1"/>
  <c r="AD98" i="1"/>
  <c r="AD178" i="1"/>
  <c r="AA178" i="1"/>
  <c r="AD58" i="1"/>
  <c r="AA58" i="1"/>
  <c r="AD60" i="1"/>
  <c r="AA60" i="1"/>
  <c r="AH31" i="1"/>
  <c r="J31" i="1" s="1"/>
  <c r="AA109" i="1"/>
  <c r="AD109" i="1"/>
  <c r="AA100" i="1"/>
  <c r="AD100" i="1"/>
  <c r="AD176" i="1"/>
  <c r="AA176" i="1"/>
  <c r="AD64" i="1"/>
  <c r="AA64" i="1"/>
  <c r="AD19" i="1"/>
  <c r="AA19" i="1"/>
  <c r="H4" i="1"/>
  <c r="I4" i="1" s="1"/>
  <c r="C13" i="1" s="1"/>
  <c r="E15" i="6"/>
  <c r="E19" i="6"/>
  <c r="F19" i="6" s="1"/>
  <c r="E23" i="6"/>
  <c r="F23" i="6" s="1"/>
  <c r="E24" i="6"/>
  <c r="F24" i="6" s="1"/>
  <c r="E21" i="6"/>
  <c r="F21" i="6" s="1"/>
  <c r="E20" i="6"/>
  <c r="F20" i="6" s="1"/>
  <c r="E22" i="6"/>
  <c r="F22" i="6" s="1"/>
  <c r="E16" i="6"/>
  <c r="E14" i="6"/>
  <c r="E17" i="6"/>
  <c r="E13" i="6"/>
  <c r="E18" i="6"/>
  <c r="AE103" i="1" l="1"/>
  <c r="AF103" i="1" s="1"/>
  <c r="I103" i="1" s="1"/>
  <c r="AE146" i="1"/>
  <c r="AF146" i="1" s="1"/>
  <c r="I146" i="1" s="1"/>
  <c r="AE174" i="1"/>
  <c r="AF174" i="1" s="1"/>
  <c r="I174" i="1" s="1"/>
  <c r="AG174" i="1"/>
  <c r="AH174" i="1" s="1"/>
  <c r="J174" i="1" s="1"/>
  <c r="AG91" i="1"/>
  <c r="AH91" i="1" s="1"/>
  <c r="J91" i="1" s="1"/>
  <c r="AE91" i="1"/>
  <c r="AF91" i="1" s="1"/>
  <c r="I91" i="1" s="1"/>
  <c r="AG94" i="1"/>
  <c r="AH94" i="1" s="1"/>
  <c r="J94" i="1" s="1"/>
  <c r="AG151" i="1"/>
  <c r="AH151" i="1" s="1"/>
  <c r="J151" i="1" s="1"/>
  <c r="AE151" i="1"/>
  <c r="AF151" i="1" s="1"/>
  <c r="I151" i="1" s="1"/>
  <c r="AG53" i="1"/>
  <c r="AH53" i="1" s="1"/>
  <c r="J53" i="1" s="1"/>
  <c r="AE53" i="1"/>
  <c r="AF53" i="1" s="1"/>
  <c r="I53" i="1" s="1"/>
  <c r="AE95" i="1"/>
  <c r="AF95" i="1" s="1"/>
  <c r="I95" i="1" s="1"/>
  <c r="AG95" i="1"/>
  <c r="AH95" i="1" s="1"/>
  <c r="J95" i="1" s="1"/>
  <c r="AG127" i="1"/>
  <c r="AH127" i="1" s="1"/>
  <c r="J127" i="1" s="1"/>
  <c r="AG154" i="1"/>
  <c r="AH154" i="1" s="1"/>
  <c r="J154" i="1" s="1"/>
  <c r="AE154" i="1"/>
  <c r="AF154" i="1" s="1"/>
  <c r="I154" i="1" s="1"/>
  <c r="AE162" i="1"/>
  <c r="AF162" i="1" s="1"/>
  <c r="I162" i="1" s="1"/>
  <c r="AG162" i="1"/>
  <c r="AH162" i="1" s="1"/>
  <c r="J162" i="1" s="1"/>
  <c r="AG160" i="1"/>
  <c r="AH160" i="1" s="1"/>
  <c r="J160" i="1" s="1"/>
  <c r="AE160" i="1"/>
  <c r="AF160" i="1" s="1"/>
  <c r="I160" i="1" s="1"/>
  <c r="AE36" i="1"/>
  <c r="AF36" i="1" s="1"/>
  <c r="I36" i="1" s="1"/>
  <c r="AG36" i="1"/>
  <c r="AH36" i="1" s="1"/>
  <c r="J36" i="1" s="1"/>
  <c r="AG172" i="1"/>
  <c r="AH172" i="1" s="1"/>
  <c r="J172" i="1" s="1"/>
  <c r="AE172" i="1"/>
  <c r="AF172" i="1" s="1"/>
  <c r="I172" i="1" s="1"/>
  <c r="AE89" i="1"/>
  <c r="AF89" i="1" s="1"/>
  <c r="I89" i="1" s="1"/>
  <c r="AG89" i="1"/>
  <c r="AH89" i="1" s="1"/>
  <c r="J89" i="1" s="1"/>
  <c r="AE45" i="1"/>
  <c r="AF45" i="1" s="1"/>
  <c r="I45" i="1" s="1"/>
  <c r="AG45" i="1"/>
  <c r="AH45" i="1" s="1"/>
  <c r="J45" i="1" s="1"/>
  <c r="AG168" i="1"/>
  <c r="AH168" i="1" s="1"/>
  <c r="J168" i="1" s="1"/>
  <c r="AE168" i="1"/>
  <c r="AF168" i="1" s="1"/>
  <c r="I168" i="1" s="1"/>
  <c r="AE30" i="1"/>
  <c r="AF30" i="1" s="1"/>
  <c r="I30" i="1" s="1"/>
  <c r="AG30" i="1"/>
  <c r="AH30" i="1" s="1"/>
  <c r="J30" i="1" s="1"/>
  <c r="AG177" i="1"/>
  <c r="AH177" i="1" s="1"/>
  <c r="J177" i="1" s="1"/>
  <c r="AE177" i="1"/>
  <c r="AF177" i="1" s="1"/>
  <c r="I177" i="1" s="1"/>
  <c r="AG173" i="1"/>
  <c r="AH173" i="1" s="1"/>
  <c r="J173" i="1" s="1"/>
  <c r="AE173" i="1"/>
  <c r="AF173" i="1" s="1"/>
  <c r="I173" i="1" s="1"/>
  <c r="AG84" i="1"/>
  <c r="AH84" i="1" s="1"/>
  <c r="J84" i="1" s="1"/>
  <c r="AE84" i="1"/>
  <c r="AF84" i="1" s="1"/>
  <c r="I84" i="1" s="1"/>
  <c r="AG52" i="1"/>
  <c r="AH52" i="1" s="1"/>
  <c r="J52" i="1" s="1"/>
  <c r="AE52" i="1"/>
  <c r="AE68" i="1"/>
  <c r="AF68" i="1" s="1"/>
  <c r="I68" i="1" s="1"/>
  <c r="AG68" i="1"/>
  <c r="AH68" i="1" s="1"/>
  <c r="J68" i="1" s="1"/>
  <c r="AE70" i="1"/>
  <c r="AF70" i="1" s="1"/>
  <c r="I70" i="1" s="1"/>
  <c r="AG70" i="1"/>
  <c r="AH70" i="1" s="1"/>
  <c r="J70" i="1" s="1"/>
  <c r="AG19" i="1"/>
  <c r="AE19" i="1"/>
  <c r="AF19" i="1" s="1"/>
  <c r="I19" i="1" s="1"/>
  <c r="AG76" i="1"/>
  <c r="AH76" i="1" s="1"/>
  <c r="J76" i="1" s="1"/>
  <c r="AE76" i="1"/>
  <c r="AF76" i="1" s="1"/>
  <c r="I76" i="1" s="1"/>
  <c r="AG149" i="1"/>
  <c r="AH149" i="1" s="1"/>
  <c r="J149" i="1" s="1"/>
  <c r="AE149" i="1"/>
  <c r="AF149" i="1" s="1"/>
  <c r="I149" i="1" s="1"/>
  <c r="AG156" i="1"/>
  <c r="AH156" i="1" s="1"/>
  <c r="J156" i="1" s="1"/>
  <c r="AE156" i="1"/>
  <c r="AF156" i="1" s="1"/>
  <c r="I156" i="1" s="1"/>
  <c r="AG34" i="1"/>
  <c r="AH34" i="1" s="1"/>
  <c r="J34" i="1" s="1"/>
  <c r="AE34" i="1"/>
  <c r="AF34" i="1" s="1"/>
  <c r="I34" i="1" s="1"/>
  <c r="AG40" i="1"/>
  <c r="AH40" i="1" s="1"/>
  <c r="J40" i="1" s="1"/>
  <c r="AE40" i="1"/>
  <c r="AE178" i="1"/>
  <c r="AF178" i="1" s="1"/>
  <c r="I178" i="1" s="1"/>
  <c r="AG178" i="1"/>
  <c r="AG46" i="1"/>
  <c r="AH46" i="1" s="1"/>
  <c r="J46" i="1" s="1"/>
  <c r="AE46" i="1"/>
  <c r="AF46" i="1" s="1"/>
  <c r="I46" i="1" s="1"/>
  <c r="AG137" i="1"/>
  <c r="AH137" i="1" s="1"/>
  <c r="J137" i="1" s="1"/>
  <c r="AE137" i="1"/>
  <c r="AF137" i="1" s="1"/>
  <c r="I137" i="1" s="1"/>
  <c r="AG169" i="1"/>
  <c r="AH169" i="1" s="1"/>
  <c r="J169" i="1" s="1"/>
  <c r="AE169" i="1"/>
  <c r="AF169" i="1" s="1"/>
  <c r="I169" i="1" s="1"/>
  <c r="AG38" i="1"/>
  <c r="AH38" i="1" s="1"/>
  <c r="J38" i="1" s="1"/>
  <c r="AE38" i="1"/>
  <c r="AF38" i="1" s="1"/>
  <c r="I38" i="1" s="1"/>
  <c r="AG44" i="1"/>
  <c r="AH44" i="1" s="1"/>
  <c r="J44" i="1" s="1"/>
  <c r="AE44" i="1"/>
  <c r="AF44" i="1" s="1"/>
  <c r="I44" i="1" s="1"/>
  <c r="AG96" i="1"/>
  <c r="AH96" i="1" s="1"/>
  <c r="J96" i="1" s="1"/>
  <c r="AE96" i="1"/>
  <c r="AF96" i="1" s="1"/>
  <c r="I96" i="1" s="1"/>
  <c r="AG176" i="1"/>
  <c r="AH176" i="1" s="1"/>
  <c r="J176" i="1" s="1"/>
  <c r="AE176" i="1"/>
  <c r="AF176" i="1" s="1"/>
  <c r="I176" i="1" s="1"/>
  <c r="AG109" i="1"/>
  <c r="AH109" i="1" s="1"/>
  <c r="J109" i="1" s="1"/>
  <c r="AE109" i="1"/>
  <c r="AF109" i="1" s="1"/>
  <c r="I109" i="1" s="1"/>
  <c r="AG92" i="1"/>
  <c r="AH92" i="1" s="1"/>
  <c r="J92" i="1" s="1"/>
  <c r="AE92" i="1"/>
  <c r="AF92" i="1" s="1"/>
  <c r="I92" i="1" s="1"/>
  <c r="AG125" i="1"/>
  <c r="AH125" i="1" s="1"/>
  <c r="J125" i="1" s="1"/>
  <c r="AE125" i="1"/>
  <c r="AF125" i="1" s="1"/>
  <c r="I125" i="1" s="1"/>
  <c r="AE82" i="1"/>
  <c r="AF82" i="1" s="1"/>
  <c r="I82" i="1" s="1"/>
  <c r="AG82" i="1"/>
  <c r="AH82" i="1" s="1"/>
  <c r="J82" i="1" s="1"/>
  <c r="AG72" i="1"/>
  <c r="AH72" i="1" s="1"/>
  <c r="J72" i="1" s="1"/>
  <c r="AE72" i="1"/>
  <c r="AF72" i="1" s="1"/>
  <c r="I72" i="1" s="1"/>
  <c r="AG58" i="1"/>
  <c r="AH58" i="1" s="1"/>
  <c r="J58" i="1" s="1"/>
  <c r="AE58" i="1"/>
  <c r="AF58" i="1" s="1"/>
  <c r="I58" i="1" s="1"/>
  <c r="AE54" i="1"/>
  <c r="AF54" i="1" s="1"/>
  <c r="I54" i="1" s="1"/>
  <c r="AG54" i="1"/>
  <c r="AH54" i="1" s="1"/>
  <c r="J54" i="1" s="1"/>
  <c r="AG122" i="1"/>
  <c r="AH122" i="1" s="1"/>
  <c r="J122" i="1" s="1"/>
  <c r="AE122" i="1"/>
  <c r="AG98" i="1"/>
  <c r="AH98" i="1" s="1"/>
  <c r="J98" i="1" s="1"/>
  <c r="AE98" i="1"/>
  <c r="AF98" i="1" s="1"/>
  <c r="I98" i="1" s="1"/>
  <c r="AE22" i="1"/>
  <c r="AF22" i="1" s="1"/>
  <c r="I22" i="1" s="1"/>
  <c r="AG22" i="1"/>
  <c r="AH22" i="1" s="1"/>
  <c r="J22" i="1" s="1"/>
  <c r="AG145" i="1"/>
  <c r="AH145" i="1" s="1"/>
  <c r="J145" i="1" s="1"/>
  <c r="AE145" i="1"/>
  <c r="AF145" i="1" s="1"/>
  <c r="I145" i="1" s="1"/>
  <c r="AG100" i="1"/>
  <c r="AH100" i="1" s="1"/>
  <c r="J100" i="1" s="1"/>
  <c r="AE100" i="1"/>
  <c r="AF100" i="1" s="1"/>
  <c r="I100" i="1" s="1"/>
  <c r="AG78" i="1"/>
  <c r="AH78" i="1" s="1"/>
  <c r="J78" i="1" s="1"/>
  <c r="AE78" i="1"/>
  <c r="AF78" i="1" s="1"/>
  <c r="I78" i="1" s="1"/>
  <c r="AG62" i="1"/>
  <c r="AH62" i="1" s="1"/>
  <c r="J62" i="1" s="1"/>
  <c r="AE62" i="1"/>
  <c r="AF62" i="1" s="1"/>
  <c r="I62" i="1" s="1"/>
  <c r="AG28" i="1"/>
  <c r="AH28" i="1" s="1"/>
  <c r="J28" i="1" s="1"/>
  <c r="AE28" i="1"/>
  <c r="AF28" i="1" s="1"/>
  <c r="I28" i="1" s="1"/>
  <c r="AG167" i="1"/>
  <c r="AH167" i="1" s="1"/>
  <c r="J167" i="1" s="1"/>
  <c r="AE167" i="1"/>
  <c r="AF167" i="1" s="1"/>
  <c r="I167" i="1" s="1"/>
  <c r="AG165" i="1"/>
  <c r="AH165" i="1" s="1"/>
  <c r="J165" i="1" s="1"/>
  <c r="AE165" i="1"/>
  <c r="AF165" i="1" s="1"/>
  <c r="I165" i="1" s="1"/>
  <c r="AG88" i="1"/>
  <c r="AH88" i="1" s="1"/>
  <c r="J88" i="1" s="1"/>
  <c r="AE88" i="1"/>
  <c r="AF88" i="1" s="1"/>
  <c r="I88" i="1" s="1"/>
  <c r="AG133" i="1"/>
  <c r="AH133" i="1" s="1"/>
  <c r="J133" i="1" s="1"/>
  <c r="AE133" i="1"/>
  <c r="AF133" i="1" s="1"/>
  <c r="I133" i="1" s="1"/>
  <c r="AG80" i="1"/>
  <c r="AH80" i="1" s="1"/>
  <c r="J80" i="1" s="1"/>
  <c r="AE80" i="1"/>
  <c r="AF80" i="1" s="1"/>
  <c r="I80" i="1" s="1"/>
  <c r="AG24" i="1"/>
  <c r="AH24" i="1" s="1"/>
  <c r="J24" i="1" s="1"/>
  <c r="AE24" i="1"/>
  <c r="AF24" i="1" s="1"/>
  <c r="I24" i="1" s="1"/>
  <c r="AG64" i="1"/>
  <c r="AH64" i="1" s="1"/>
  <c r="J64" i="1" s="1"/>
  <c r="AE64" i="1"/>
  <c r="AF64" i="1" s="1"/>
  <c r="I64" i="1" s="1"/>
  <c r="AG166" i="1"/>
  <c r="AH166" i="1" s="1"/>
  <c r="J166" i="1" s="1"/>
  <c r="AE166" i="1"/>
  <c r="AF166" i="1" s="1"/>
  <c r="I166" i="1" s="1"/>
  <c r="AG60" i="1"/>
  <c r="AH60" i="1" s="1"/>
  <c r="J60" i="1" s="1"/>
  <c r="AE60" i="1"/>
  <c r="AG124" i="1"/>
  <c r="AH124" i="1" s="1"/>
  <c r="J124" i="1" s="1"/>
  <c r="AE124" i="1"/>
  <c r="AG49" i="1"/>
  <c r="AH49" i="1" s="1"/>
  <c r="J49" i="1" s="1"/>
  <c r="AE49" i="1"/>
  <c r="AF49" i="1" s="1"/>
  <c r="I49" i="1" s="1"/>
  <c r="AF124" i="1"/>
  <c r="I124" i="1" s="1"/>
  <c r="AF60" i="1"/>
  <c r="I60" i="1" s="1"/>
  <c r="AF122" i="1"/>
  <c r="I122" i="1" s="1"/>
  <c r="AF40" i="1"/>
  <c r="I40" i="1" s="1"/>
  <c r="AF52" i="1"/>
  <c r="I52" i="1" s="1"/>
  <c r="AH178" i="1"/>
  <c r="J178" i="1" s="1"/>
  <c r="AH19" i="1"/>
  <c r="J19" i="1" s="1"/>
  <c r="L4" i="1"/>
  <c r="J4" i="1"/>
  <c r="M4" i="1" s="1"/>
  <c r="G8" i="1" s="1"/>
  <c r="H8" i="1" s="1"/>
  <c r="E25" i="6"/>
  <c r="E26" i="6" s="1"/>
  <c r="K8" i="1" l="1"/>
  <c r="L8" i="1" s="1"/>
  <c r="E8" i="1"/>
  <c r="F8" i="1" s="1"/>
  <c r="C33" i="6"/>
  <c r="L33" i="6"/>
  <c r="F34" i="6"/>
  <c r="C35" i="6"/>
  <c r="I35" i="6"/>
  <c r="R35" i="6"/>
  <c r="R36" i="6"/>
  <c r="O37" i="6"/>
  <c r="C38" i="6"/>
  <c r="L38" i="6"/>
  <c r="L39" i="6"/>
  <c r="I40" i="6"/>
  <c r="O40" i="6"/>
  <c r="F41" i="6"/>
  <c r="F42" i="6"/>
  <c r="C43" i="6"/>
  <c r="I43" i="6"/>
  <c r="R43" i="6"/>
  <c r="R44" i="6"/>
  <c r="O45" i="6"/>
  <c r="C46" i="6"/>
  <c r="L46" i="6"/>
  <c r="L47" i="6"/>
  <c r="I48" i="6"/>
  <c r="O48" i="6"/>
  <c r="F49" i="6"/>
  <c r="F50" i="6"/>
  <c r="C51" i="6"/>
  <c r="I51" i="6"/>
  <c r="R51" i="6"/>
  <c r="L52" i="6"/>
  <c r="F33" i="6"/>
  <c r="R33" i="6"/>
  <c r="R34" i="6"/>
  <c r="O35" i="6"/>
  <c r="C36" i="6"/>
  <c r="L36" i="6"/>
  <c r="L37" i="6"/>
  <c r="I38" i="6"/>
  <c r="O38" i="6"/>
  <c r="F39" i="6"/>
  <c r="F40" i="6"/>
  <c r="C41" i="6"/>
  <c r="I41" i="6"/>
  <c r="R41" i="6"/>
  <c r="R42" i="6"/>
  <c r="O43" i="6"/>
  <c r="C44" i="6"/>
  <c r="L44" i="6"/>
  <c r="L45" i="6"/>
  <c r="I46" i="6"/>
  <c r="O46" i="6"/>
  <c r="F47" i="6"/>
  <c r="F48" i="6"/>
  <c r="C49" i="6"/>
  <c r="I49" i="6"/>
  <c r="R49" i="6"/>
  <c r="R50" i="6"/>
  <c r="O51" i="6"/>
  <c r="C52" i="6"/>
  <c r="I52" i="6"/>
  <c r="O52" i="6"/>
  <c r="I33" i="6"/>
  <c r="C34" i="6"/>
  <c r="L34" i="6"/>
  <c r="L35" i="6"/>
  <c r="I36" i="6"/>
  <c r="O36" i="6"/>
  <c r="F37" i="6"/>
  <c r="F38" i="6"/>
  <c r="C39" i="6"/>
  <c r="I39" i="6"/>
  <c r="R39" i="6"/>
  <c r="R40" i="6"/>
  <c r="O41" i="6"/>
  <c r="C42" i="6"/>
  <c r="L42" i="6"/>
  <c r="L43" i="6"/>
  <c r="I44" i="6"/>
  <c r="O44" i="6"/>
  <c r="F45" i="6"/>
  <c r="F46" i="6"/>
  <c r="C47" i="6"/>
  <c r="I47" i="6"/>
  <c r="R47" i="6"/>
  <c r="R48" i="6"/>
  <c r="O49" i="6"/>
  <c r="C50" i="6"/>
  <c r="L50" i="6"/>
  <c r="L51" i="6"/>
  <c r="F52" i="6"/>
  <c r="R52" i="6"/>
  <c r="O33" i="6"/>
  <c r="I34" i="6"/>
  <c r="O34" i="6"/>
  <c r="F35" i="6"/>
  <c r="F36" i="6"/>
  <c r="C37" i="6"/>
  <c r="I37" i="6"/>
  <c r="R37" i="6"/>
  <c r="R38" i="6"/>
  <c r="O39" i="6"/>
  <c r="C40" i="6"/>
  <c r="L40" i="6"/>
  <c r="L41" i="6"/>
  <c r="I42" i="6"/>
  <c r="O42" i="6"/>
  <c r="F43" i="6"/>
  <c r="F44" i="6"/>
  <c r="C45" i="6"/>
  <c r="I45" i="6"/>
  <c r="R45" i="6"/>
  <c r="R46" i="6"/>
  <c r="O47" i="6"/>
  <c r="C48" i="6"/>
  <c r="L48" i="6"/>
  <c r="L49" i="6"/>
  <c r="I50" i="6"/>
  <c r="O50" i="6"/>
  <c r="F51" i="6"/>
  <c r="R32" i="6"/>
  <c r="C32" i="6"/>
  <c r="D32" i="6" s="1"/>
  <c r="O32" i="6"/>
  <c r="F32" i="6"/>
  <c r="L32" i="6"/>
  <c r="I32" i="6"/>
  <c r="F26" i="6"/>
  <c r="M8" i="1" l="1"/>
  <c r="C14" i="1" s="1"/>
  <c r="N8" i="1"/>
  <c r="O8" i="1" s="1"/>
  <c r="C15" i="1" s="1"/>
  <c r="P47" i="6"/>
  <c r="Q47" i="6"/>
  <c r="Q39" i="6"/>
  <c r="P39" i="6"/>
  <c r="J34" i="6"/>
  <c r="K34" i="6"/>
  <c r="M50" i="6"/>
  <c r="N50" i="6"/>
  <c r="G45" i="6"/>
  <c r="H45" i="6"/>
  <c r="S39" i="6"/>
  <c r="T39" i="6"/>
  <c r="Q52" i="6"/>
  <c r="P52" i="6"/>
  <c r="G48" i="6"/>
  <c r="H48" i="6"/>
  <c r="T42" i="6"/>
  <c r="S42" i="6"/>
  <c r="N37" i="6"/>
  <c r="M37" i="6"/>
  <c r="S34" i="6"/>
  <c r="T34" i="6"/>
  <c r="D51" i="6"/>
  <c r="E51" i="6"/>
  <c r="K48" i="6"/>
  <c r="J48" i="6"/>
  <c r="Q45" i="6"/>
  <c r="P45" i="6"/>
  <c r="D43" i="6"/>
  <c r="E43" i="6"/>
  <c r="D35" i="6"/>
  <c r="E35" i="6"/>
  <c r="M49" i="6"/>
  <c r="N49" i="6"/>
  <c r="T46" i="6"/>
  <c r="S46" i="6"/>
  <c r="G44" i="6"/>
  <c r="H44" i="6"/>
  <c r="M41" i="6"/>
  <c r="N41" i="6"/>
  <c r="T38" i="6"/>
  <c r="S38" i="6"/>
  <c r="G36" i="6"/>
  <c r="H36" i="6"/>
  <c r="P33" i="6"/>
  <c r="Q33" i="6"/>
  <c r="S52" i="6"/>
  <c r="T52" i="6"/>
  <c r="E50" i="6"/>
  <c r="D50" i="6"/>
  <c r="K47" i="6"/>
  <c r="J47" i="6"/>
  <c r="Q44" i="6"/>
  <c r="P44" i="6"/>
  <c r="E42" i="6"/>
  <c r="D42" i="6"/>
  <c r="K39" i="6"/>
  <c r="J39" i="6"/>
  <c r="Q36" i="6"/>
  <c r="P36" i="6"/>
  <c r="E34" i="6"/>
  <c r="D34" i="6"/>
  <c r="J52" i="6"/>
  <c r="K52" i="6"/>
  <c r="S49" i="6"/>
  <c r="T49" i="6"/>
  <c r="G47" i="6"/>
  <c r="H47" i="6"/>
  <c r="M44" i="6"/>
  <c r="N44" i="6"/>
  <c r="S41" i="6"/>
  <c r="T41" i="6"/>
  <c r="G39" i="6"/>
  <c r="H39" i="6"/>
  <c r="M36" i="6"/>
  <c r="N36" i="6"/>
  <c r="S33" i="6"/>
  <c r="T33" i="6"/>
  <c r="M52" i="6"/>
  <c r="N52" i="6"/>
  <c r="H50" i="6"/>
  <c r="G50" i="6"/>
  <c r="M47" i="6"/>
  <c r="N47" i="6"/>
  <c r="T44" i="6"/>
  <c r="S44" i="6"/>
  <c r="H42" i="6"/>
  <c r="G42" i="6"/>
  <c r="N39" i="6"/>
  <c r="M39" i="6"/>
  <c r="S36" i="6"/>
  <c r="T36" i="6"/>
  <c r="H34" i="6"/>
  <c r="G34" i="6"/>
  <c r="D45" i="6"/>
  <c r="E45" i="6"/>
  <c r="E37" i="6"/>
  <c r="D37" i="6"/>
  <c r="M42" i="6"/>
  <c r="N42" i="6"/>
  <c r="M34" i="6"/>
  <c r="N34" i="6"/>
  <c r="S50" i="6"/>
  <c r="T50" i="6"/>
  <c r="G40" i="6"/>
  <c r="H40" i="6"/>
  <c r="J40" i="6"/>
  <c r="K40" i="6"/>
  <c r="G51" i="6"/>
  <c r="H51" i="6"/>
  <c r="M48" i="6"/>
  <c r="N48" i="6"/>
  <c r="S45" i="6"/>
  <c r="T45" i="6"/>
  <c r="G43" i="6"/>
  <c r="H43" i="6"/>
  <c r="M40" i="6"/>
  <c r="N40" i="6"/>
  <c r="S37" i="6"/>
  <c r="T37" i="6"/>
  <c r="G35" i="6"/>
  <c r="H35" i="6"/>
  <c r="H52" i="6"/>
  <c r="G52" i="6"/>
  <c r="Q49" i="6"/>
  <c r="P49" i="6"/>
  <c r="D47" i="6"/>
  <c r="E47" i="6"/>
  <c r="J44" i="6"/>
  <c r="K44" i="6"/>
  <c r="Q41" i="6"/>
  <c r="P41" i="6"/>
  <c r="D39" i="6"/>
  <c r="E39" i="6"/>
  <c r="J36" i="6"/>
  <c r="K36" i="6"/>
  <c r="K33" i="6"/>
  <c r="J33" i="6"/>
  <c r="E52" i="6"/>
  <c r="D52" i="6"/>
  <c r="K49" i="6"/>
  <c r="J49" i="6"/>
  <c r="Q46" i="6"/>
  <c r="P46" i="6"/>
  <c r="E44" i="6"/>
  <c r="D44" i="6"/>
  <c r="K41" i="6"/>
  <c r="J41" i="6"/>
  <c r="Q38" i="6"/>
  <c r="P38" i="6"/>
  <c r="E36" i="6"/>
  <c r="D36" i="6"/>
  <c r="G33" i="6"/>
  <c r="H33" i="6"/>
  <c r="T51" i="6"/>
  <c r="S51" i="6"/>
  <c r="G49" i="6"/>
  <c r="H49" i="6"/>
  <c r="M46" i="6"/>
  <c r="N46" i="6"/>
  <c r="S43" i="6"/>
  <c r="T43" i="6"/>
  <c r="G41" i="6"/>
  <c r="H41" i="6"/>
  <c r="M38" i="6"/>
  <c r="N38" i="6"/>
  <c r="S35" i="6"/>
  <c r="T35" i="6"/>
  <c r="M33" i="6"/>
  <c r="N33" i="6"/>
  <c r="K50" i="6"/>
  <c r="J50" i="6"/>
  <c r="J42" i="6"/>
  <c r="K42" i="6"/>
  <c r="S47" i="6"/>
  <c r="T47" i="6"/>
  <c r="G37" i="6"/>
  <c r="H37" i="6"/>
  <c r="N45" i="6"/>
  <c r="M45" i="6"/>
  <c r="Q37" i="6"/>
  <c r="P37" i="6"/>
  <c r="Q50" i="6"/>
  <c r="P50" i="6"/>
  <c r="E48" i="6"/>
  <c r="D48" i="6"/>
  <c r="K45" i="6"/>
  <c r="J45" i="6"/>
  <c r="Q42" i="6"/>
  <c r="P42" i="6"/>
  <c r="E40" i="6"/>
  <c r="D40" i="6"/>
  <c r="K37" i="6"/>
  <c r="J37" i="6"/>
  <c r="Q34" i="6"/>
  <c r="P34" i="6"/>
  <c r="N51" i="6"/>
  <c r="M51" i="6"/>
  <c r="S48" i="6"/>
  <c r="T48" i="6"/>
  <c r="G46" i="6"/>
  <c r="H46" i="6"/>
  <c r="M43" i="6"/>
  <c r="N43" i="6"/>
  <c r="S40" i="6"/>
  <c r="T40" i="6"/>
  <c r="H38" i="6"/>
  <c r="G38" i="6"/>
  <c r="M35" i="6"/>
  <c r="N35" i="6"/>
  <c r="Q51" i="6"/>
  <c r="P51" i="6"/>
  <c r="D49" i="6"/>
  <c r="E49" i="6"/>
  <c r="J46" i="6"/>
  <c r="K46" i="6"/>
  <c r="P43" i="6"/>
  <c r="Q43" i="6"/>
  <c r="E41" i="6"/>
  <c r="D41" i="6"/>
  <c r="K38" i="6"/>
  <c r="J38" i="6"/>
  <c r="Q35" i="6"/>
  <c r="P35" i="6"/>
  <c r="K51" i="6"/>
  <c r="J51" i="6"/>
  <c r="Q48" i="6"/>
  <c r="P48" i="6"/>
  <c r="E46" i="6"/>
  <c r="D46" i="6"/>
  <c r="K43" i="6"/>
  <c r="J43" i="6"/>
  <c r="Q40" i="6"/>
  <c r="P40" i="6"/>
  <c r="E38" i="6"/>
  <c r="D38" i="6"/>
  <c r="K35" i="6"/>
  <c r="J35" i="6"/>
  <c r="D33" i="6"/>
  <c r="E33" i="6"/>
  <c r="K32" i="6"/>
  <c r="J32" i="6"/>
  <c r="P32" i="6"/>
  <c r="Q32" i="6"/>
  <c r="T32" i="6"/>
  <c r="S32" i="6"/>
  <c r="N32" i="6"/>
  <c r="M32" i="6"/>
  <c r="G32" i="6"/>
  <c r="H32" i="6"/>
  <c r="E32" i="6"/>
</calcChain>
</file>

<file path=xl/sharedStrings.xml><?xml version="1.0" encoding="utf-8"?>
<sst xmlns="http://schemas.openxmlformats.org/spreadsheetml/2006/main" count="165" uniqueCount="103">
  <si>
    <t>coxa_zero_rotate</t>
  </si>
  <si>
    <t>Переход в (X*, Y*, Z*) - поворот</t>
  </si>
  <si>
    <t>COXA angle</t>
  </si>
  <si>
    <t>Переход в (X*, Y*) - поворот</t>
  </si>
  <si>
    <t>Переход в (X**, Y**)</t>
  </si>
  <si>
    <t>femur_zero_rotate</t>
  </si>
  <si>
    <t>X*</t>
  </si>
  <si>
    <t>Y*</t>
  </si>
  <si>
    <t>Z*</t>
  </si>
  <si>
    <t>rad</t>
  </si>
  <si>
    <t>deg</t>
  </si>
  <si>
    <t>X**</t>
  </si>
  <si>
    <t>Y**</t>
  </si>
  <si>
    <t>tibia_zero_rotate</t>
  </si>
  <si>
    <t>coxa_length</t>
  </si>
  <si>
    <t>femur_length</t>
  </si>
  <si>
    <t>Расчет треугольника</t>
  </si>
  <si>
    <t>tibia_length</t>
  </si>
  <si>
    <t>ϕ</t>
  </si>
  <si>
    <t>D</t>
  </si>
  <si>
    <t>R1 + R2 &gt; d</t>
  </si>
  <si>
    <t>FEMUR^2</t>
  </si>
  <si>
    <t>TIBIA^2</t>
  </si>
  <si>
    <t>D^2</t>
  </si>
  <si>
    <t>α</t>
  </si>
  <si>
    <t>ϒ</t>
  </si>
  <si>
    <t>dest_point_x</t>
  </si>
  <si>
    <t>dest_point_y</t>
  </si>
  <si>
    <t>dest_point_z</t>
  </si>
  <si>
    <t>COXA</t>
  </si>
  <si>
    <t>FEMUR</t>
  </si>
  <si>
    <t>TIBIA</t>
  </si>
  <si>
    <t>x</t>
  </si>
  <si>
    <t xml:space="preserve">x0 = </t>
  </si>
  <si>
    <t xml:space="preserve">y0 = </t>
  </si>
  <si>
    <t>z</t>
  </si>
  <si>
    <t xml:space="preserve">z0 = </t>
  </si>
  <si>
    <t>Общие вычисления</t>
  </si>
  <si>
    <t>Стартовая точка #1</t>
  </si>
  <si>
    <t>Стартовая точка #2</t>
  </si>
  <si>
    <t>Стартовая точка #3</t>
  </si>
  <si>
    <t>Стартовая точка #4</t>
  </si>
  <si>
    <t>Стартовая точка #5</t>
  </si>
  <si>
    <t>Стартовая точка #6</t>
  </si>
  <si>
    <t>Конфигурация конечностей</t>
  </si>
  <si>
    <t>Вычисляется через формулу длины дуги (длина = угол в радианах * радиус)</t>
  </si>
  <si>
    <t>Конечность #1</t>
  </si>
  <si>
    <t>Конечность #2</t>
  </si>
  <si>
    <t>Конечность #3</t>
  </si>
  <si>
    <t>Конечность #4</t>
  </si>
  <si>
    <t>Конечность #5</t>
  </si>
  <si>
    <t>Конечность #6</t>
  </si>
  <si>
    <t xml:space="preserve">Начальный угол конечности 1 = </t>
  </si>
  <si>
    <t xml:space="preserve">Начальный угол конечности 2 = </t>
  </si>
  <si>
    <t xml:space="preserve">Начальный угол конечности 3 = </t>
  </si>
  <si>
    <t xml:space="preserve">Начальный угол конечности 4 = </t>
  </si>
  <si>
    <t xml:space="preserve">Начальный угол конечности 5 = </t>
  </si>
  <si>
    <t xml:space="preserve">Начальный угол конечности 6 = </t>
  </si>
  <si>
    <t>arc angle</t>
  </si>
  <si>
    <t xml:space="preserve">Радиус траектории конечности 1 = </t>
  </si>
  <si>
    <t xml:space="preserve">Радиус траектории конечности 2 = </t>
  </si>
  <si>
    <t xml:space="preserve">Радиус траектории конечности 3 = </t>
  </si>
  <si>
    <t xml:space="preserve">Радиус траектории конечности 4 = </t>
  </si>
  <si>
    <t xml:space="preserve">Радиус траектории конечности 5 = </t>
  </si>
  <si>
    <t xml:space="preserve">Радиус траектории конечности 6 = </t>
  </si>
  <si>
    <t>move time</t>
  </si>
  <si>
    <t>Радиус окружности, центр которой находится в центре кривизны и проходящей через начальную точку конечности
(длина серых линий)</t>
  </si>
  <si>
    <t>При вычислении arc angle предполагается, что в значении move time = 0.5 конечность окажется в своей нулевой точке</t>
  </si>
  <si>
    <t xml:space="preserve"> Начальный угол конечности. По сути это логический ноль для конечности. Относительно этого угла вычисляются начальный и конечный уголы дуги окружности. Вычисляется как угол между осью Х и прямой, проведенной из центра кривизны через начальную точку окружности (ATAN2)
(угол между Х и серой линией)</t>
  </si>
  <si>
    <t xml:space="preserve">k = </t>
  </si>
  <si>
    <t xml:space="preserve">Радиус траектории тела = </t>
  </si>
  <si>
    <t xml:space="preserve">Макс. Радиус траектории = </t>
  </si>
  <si>
    <t xml:space="preserve">Макс. угол дуги = </t>
  </si>
  <si>
    <t>Функция кривизны</t>
  </si>
  <si>
    <t xml:space="preserve">range = </t>
  </si>
  <si>
    <t xml:space="preserve">Расстояние цикла [мм] = </t>
  </si>
  <si>
    <t xml:space="preserve">Кривизна траектории = </t>
  </si>
  <si>
    <t>Функция кривизны. Она определяет на сколько далеко находится точка вращения</t>
  </si>
  <si>
    <t xml:space="preserve">A = </t>
  </si>
  <si>
    <t>Limb_1</t>
  </si>
  <si>
    <t>Limb_2</t>
  </si>
  <si>
    <t>Limb_3</t>
  </si>
  <si>
    <t>Limb_4</t>
  </si>
  <si>
    <t>Limb_5</t>
  </si>
  <si>
    <t>Limb_6</t>
  </si>
  <si>
    <t xml:space="preserve">n = </t>
  </si>
  <si>
    <t xml:space="preserve">rotate X = </t>
  </si>
  <si>
    <t xml:space="preserve">rotate Z = </t>
  </si>
  <si>
    <t>Вращение по Х</t>
  </si>
  <si>
    <t>Вращение по Z</t>
  </si>
  <si>
    <t>y</t>
  </si>
  <si>
    <t>coxa</t>
  </si>
  <si>
    <t>femur</t>
  </si>
  <si>
    <t>tibia</t>
  </si>
  <si>
    <t>Destination point</t>
  </si>
  <si>
    <t>Destination angles</t>
  </si>
  <si>
    <t>coxa_min</t>
  </si>
  <si>
    <t>coxa_max</t>
  </si>
  <si>
    <t>femur_min</t>
  </si>
  <si>
    <t>femur_max</t>
  </si>
  <si>
    <t>tibia_min</t>
  </si>
  <si>
    <t>tibia_max</t>
  </si>
  <si>
    <t>After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</si>
</sst>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9" formatCode="0.0000000"/>
  </numFmts>
  <fonts count="8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b/>
      <sz val="11"/>
      <name val="Calibri"/>
      <family val="2"/>
      <charset val="204"/>
    </font>
    <font>
      <sz val="11"/>
      <name val="Calibri"/>
      <family val="2"/>
      <charset val="1"/>
    </font>
    <font>
      <i/>
      <sz val="11"/>
      <color rgb="FF000000"/>
      <name val="Calibri"/>
      <family val="2"/>
      <charset val="204"/>
    </font>
    <font>
      <b/>
      <i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E46C0A"/>
        <bgColor rgb="FFFF420E"/>
      </patternFill>
    </fill>
    <fill>
      <patternFill patternType="solid">
        <fgColor rgb="FFFAC090"/>
        <bgColor rgb="FFE6B9B8"/>
      </patternFill>
    </fill>
    <fill>
      <patternFill patternType="solid">
        <fgColor rgb="FFFF0000"/>
        <bgColor rgb="FFFF420E"/>
      </patternFill>
    </fill>
    <fill>
      <patternFill patternType="solid">
        <fgColor rgb="FF93CDDD"/>
        <bgColor rgb="FFB3B3B3"/>
      </patternFill>
    </fill>
    <fill>
      <patternFill patternType="solid">
        <fgColor rgb="FFD99694"/>
        <bgColor rgb="FFE6B9B8"/>
      </patternFill>
    </fill>
    <fill>
      <patternFill patternType="solid">
        <fgColor rgb="FFE6B9B8"/>
        <bgColor rgb="FFFAC090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rgb="FFFF420E"/>
      </patternFill>
    </fill>
  </fills>
  <borders count="4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39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4" fillId="4" borderId="12" xfId="0" applyFont="1" applyFill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2" fontId="0" fillId="0" borderId="16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4" borderId="12" xfId="0" applyNumberFormat="1" applyFill="1" applyBorder="1" applyAlignment="1">
      <alignment horizontal="center"/>
    </xf>
    <xf numFmtId="2" fontId="0" fillId="4" borderId="15" xfId="0" applyNumberFormat="1" applyFill="1" applyBorder="1" applyAlignment="1">
      <alignment horizontal="center"/>
    </xf>
    <xf numFmtId="0" fontId="2" fillId="0" borderId="0" xfId="0" applyFont="1" applyBorder="1" applyAlignment="1"/>
    <xf numFmtId="0" fontId="2" fillId="2" borderId="12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top"/>
    </xf>
    <xf numFmtId="2" fontId="0" fillId="0" borderId="12" xfId="0" applyNumberFormat="1" applyBorder="1" applyAlignment="1">
      <alignment horizontal="center" vertical="center"/>
    </xf>
    <xf numFmtId="2" fontId="0" fillId="0" borderId="13" xfId="0" applyNumberForma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/>
    </xf>
    <xf numFmtId="2" fontId="0" fillId="0" borderId="15" xfId="0" applyNumberFormat="1" applyBorder="1" applyAlignment="1">
      <alignment horizontal="center" vertical="center"/>
    </xf>
    <xf numFmtId="2" fontId="0" fillId="0" borderId="0" xfId="0" applyNumberFormat="1" applyBorder="1" applyAlignment="1">
      <alignment horizontal="center" vertical="top"/>
    </xf>
    <xf numFmtId="0" fontId="0" fillId="5" borderId="1" xfId="0" applyFont="1" applyFill="1" applyBorder="1" applyAlignment="1">
      <alignment horizontal="left" vertical="center"/>
    </xf>
    <xf numFmtId="0" fontId="0" fillId="5" borderId="2" xfId="0" applyFill="1" applyBorder="1" applyAlignment="1">
      <alignment horizontal="center" vertical="center"/>
    </xf>
    <xf numFmtId="0" fontId="0" fillId="5" borderId="7" xfId="0" applyFont="1" applyFill="1" applyBorder="1" applyAlignment="1">
      <alignment horizontal="left" vertical="center"/>
    </xf>
    <xf numFmtId="0" fontId="0" fillId="5" borderId="8" xfId="0" applyFill="1" applyBorder="1" applyAlignment="1">
      <alignment horizontal="center" vertical="center"/>
    </xf>
    <xf numFmtId="0" fontId="0" fillId="5" borderId="12" xfId="0" applyFont="1" applyFill="1" applyBorder="1" applyAlignment="1">
      <alignment horizontal="left" vertical="center"/>
    </xf>
    <xf numFmtId="0" fontId="0" fillId="5" borderId="15" xfId="0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2" fillId="7" borderId="8" xfId="0" applyNumberFormat="1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2" fontId="2" fillId="6" borderId="15" xfId="0" applyNumberFormat="1" applyFont="1" applyFill="1" applyBorder="1" applyAlignment="1">
      <alignment horizontal="center"/>
    </xf>
    <xf numFmtId="0" fontId="0" fillId="0" borderId="0" xfId="0" applyBorder="1" applyAlignment="1">
      <alignment horizontal="right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/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center"/>
    </xf>
    <xf numFmtId="0" fontId="0" fillId="0" borderId="0" xfId="0" applyBorder="1"/>
    <xf numFmtId="2" fontId="0" fillId="0" borderId="19" xfId="0" applyNumberFormat="1" applyBorder="1" applyAlignment="1">
      <alignment horizontal="center"/>
    </xf>
    <xf numFmtId="2" fontId="0" fillId="0" borderId="22" xfId="0" applyNumberFormat="1" applyBorder="1" applyAlignment="1">
      <alignment horizontal="center"/>
    </xf>
    <xf numFmtId="0" fontId="2" fillId="13" borderId="12" xfId="0" applyFont="1" applyFill="1" applyBorder="1" applyAlignment="1">
      <alignment horizontal="center"/>
    </xf>
    <xf numFmtId="0" fontId="2" fillId="13" borderId="13" xfId="0" applyFont="1" applyFill="1" applyBorder="1" applyAlignment="1">
      <alignment horizontal="center"/>
    </xf>
    <xf numFmtId="0" fontId="2" fillId="13" borderId="15" xfId="0" applyFont="1" applyFill="1" applyBorder="1" applyAlignment="1">
      <alignment horizontal="center"/>
    </xf>
    <xf numFmtId="0" fontId="2" fillId="14" borderId="12" xfId="0" applyFont="1" applyFill="1" applyBorder="1" applyAlignment="1">
      <alignment horizontal="center"/>
    </xf>
    <xf numFmtId="0" fontId="2" fillId="14" borderId="13" xfId="0" applyFont="1" applyFill="1" applyBorder="1" applyAlignment="1">
      <alignment horizontal="center"/>
    </xf>
    <xf numFmtId="0" fontId="2" fillId="14" borderId="15" xfId="0" applyFont="1" applyFill="1" applyBorder="1" applyAlignment="1">
      <alignment horizontal="center"/>
    </xf>
    <xf numFmtId="2" fontId="0" fillId="10" borderId="19" xfId="0" applyNumberFormat="1" applyFill="1" applyBorder="1" applyAlignment="1">
      <alignment horizontal="center"/>
    </xf>
    <xf numFmtId="2" fontId="0" fillId="0" borderId="35" xfId="0" applyNumberFormat="1" applyBorder="1" applyAlignment="1">
      <alignment horizontal="center"/>
    </xf>
    <xf numFmtId="2" fontId="0" fillId="0" borderId="30" xfId="0" applyNumberFormat="1" applyBorder="1" applyAlignment="1">
      <alignment horizontal="center"/>
    </xf>
    <xf numFmtId="16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9" borderId="2" xfId="0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15" borderId="7" xfId="0" applyFill="1" applyBorder="1" applyAlignment="1">
      <alignment horizontal="center"/>
    </xf>
    <xf numFmtId="0" fontId="0" fillId="15" borderId="12" xfId="0" applyFill="1" applyBorder="1" applyAlignment="1">
      <alignment horizontal="center"/>
    </xf>
    <xf numFmtId="0" fontId="0" fillId="15" borderId="18" xfId="0" applyFill="1" applyBorder="1" applyAlignment="1">
      <alignment horizontal="center"/>
    </xf>
    <xf numFmtId="1" fontId="0" fillId="15" borderId="21" xfId="0" applyNumberFormat="1" applyFill="1" applyBorder="1" applyAlignment="1">
      <alignment horizontal="center"/>
    </xf>
    <xf numFmtId="165" fontId="0" fillId="9" borderId="15" xfId="0" applyNumberFormat="1" applyFill="1" applyBorder="1" applyAlignment="1">
      <alignment horizontal="center"/>
    </xf>
    <xf numFmtId="0" fontId="0" fillId="9" borderId="44" xfId="0" applyFill="1" applyBorder="1" applyAlignment="1">
      <alignment horizontal="right"/>
    </xf>
    <xf numFmtId="0" fontId="0" fillId="9" borderId="16" xfId="0" applyFill="1" applyBorder="1" applyAlignment="1">
      <alignment horizontal="right"/>
    </xf>
    <xf numFmtId="1" fontId="0" fillId="15" borderId="4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3" borderId="24" xfId="0" applyNumberFormat="1" applyFill="1" applyBorder="1" applyAlignment="1">
      <alignment horizontal="center"/>
    </xf>
    <xf numFmtId="2" fontId="0" fillId="13" borderId="2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4" borderId="24" xfId="0" applyNumberFormat="1" applyFill="1" applyBorder="1" applyAlignment="1">
      <alignment horizontal="center"/>
    </xf>
    <xf numFmtId="2" fontId="0" fillId="14" borderId="2" xfId="0" applyNumberFormat="1" applyFill="1" applyBorder="1" applyAlignment="1">
      <alignment horizontal="center"/>
    </xf>
    <xf numFmtId="2" fontId="0" fillId="13" borderId="18" xfId="0" applyNumberFormat="1" applyFill="1" applyBorder="1" applyAlignment="1">
      <alignment horizontal="center"/>
    </xf>
    <xf numFmtId="2" fontId="0" fillId="13" borderId="20" xfId="0" applyNumberFormat="1" applyFill="1" applyBorder="1" applyAlignment="1">
      <alignment horizontal="center"/>
    </xf>
    <xf numFmtId="2" fontId="0" fillId="13" borderId="21" xfId="0" applyNumberFormat="1" applyFill="1" applyBorder="1" applyAlignment="1">
      <alignment horizontal="center"/>
    </xf>
    <xf numFmtId="2" fontId="0" fillId="14" borderId="18" xfId="0" applyNumberFormat="1" applyFill="1" applyBorder="1" applyAlignment="1">
      <alignment horizontal="center"/>
    </xf>
    <xf numFmtId="2" fontId="0" fillId="14" borderId="20" xfId="0" applyNumberFormat="1" applyFill="1" applyBorder="1" applyAlignment="1">
      <alignment horizontal="center"/>
    </xf>
    <xf numFmtId="2" fontId="0" fillId="14" borderId="21" xfId="0" applyNumberFormat="1" applyFill="1" applyBorder="1" applyAlignment="1">
      <alignment horizontal="center"/>
    </xf>
    <xf numFmtId="2" fontId="0" fillId="10" borderId="18" xfId="0" applyNumberFormat="1" applyFill="1" applyBorder="1" applyAlignment="1">
      <alignment horizontal="center"/>
    </xf>
    <xf numFmtId="2" fontId="2" fillId="10" borderId="20" xfId="0" applyNumberFormat="1" applyFont="1" applyFill="1" applyBorder="1" applyAlignment="1">
      <alignment horizontal="center"/>
    </xf>
    <xf numFmtId="2" fontId="2" fillId="10" borderId="21" xfId="0" applyNumberFormat="1" applyFont="1" applyFill="1" applyBorder="1" applyAlignment="1">
      <alignment horizontal="center"/>
    </xf>
    <xf numFmtId="2" fontId="0" fillId="13" borderId="39" xfId="0" applyNumberFormat="1" applyFill="1" applyBorder="1" applyAlignment="1">
      <alignment horizontal="center"/>
    </xf>
    <xf numFmtId="2" fontId="0" fillId="13" borderId="40" xfId="0" applyNumberFormat="1" applyFill="1" applyBorder="1" applyAlignment="1">
      <alignment horizontal="center"/>
    </xf>
    <xf numFmtId="2" fontId="0" fillId="13" borderId="41" xfId="0" applyNumberFormat="1" applyFill="1" applyBorder="1" applyAlignment="1">
      <alignment horizontal="center"/>
    </xf>
    <xf numFmtId="2" fontId="0" fillId="14" borderId="39" xfId="0" applyNumberFormat="1" applyFill="1" applyBorder="1" applyAlignment="1">
      <alignment horizontal="center"/>
    </xf>
    <xf numFmtId="2" fontId="0" fillId="14" borderId="40" xfId="0" applyNumberFormat="1" applyFill="1" applyBorder="1" applyAlignment="1">
      <alignment horizontal="center"/>
    </xf>
    <xf numFmtId="2" fontId="0" fillId="14" borderId="41" xfId="0" applyNumberFormat="1" applyFill="1" applyBorder="1" applyAlignment="1">
      <alignment horizontal="center"/>
    </xf>
    <xf numFmtId="0" fontId="0" fillId="0" borderId="0" xfId="0" applyFill="1" applyBorder="1" applyAlignment="1"/>
    <xf numFmtId="2" fontId="0" fillId="0" borderId="9" xfId="0" applyNumberFormat="1" applyBorder="1" applyAlignment="1">
      <alignment horizontal="center"/>
    </xf>
    <xf numFmtId="2" fontId="5" fillId="0" borderId="10" xfId="0" applyNumberFormat="1" applyFont="1" applyBorder="1" applyAlignment="1">
      <alignment horizontal="center"/>
    </xf>
    <xf numFmtId="2" fontId="2" fillId="11" borderId="13" xfId="0" applyNumberFormat="1" applyFont="1" applyFill="1" applyBorder="1" applyAlignment="1">
      <alignment horizontal="center"/>
    </xf>
    <xf numFmtId="2" fontId="2" fillId="11" borderId="14" xfId="0" applyNumberFormat="1" applyFont="1" applyFill="1" applyBorder="1" applyAlignment="1">
      <alignment horizontal="center"/>
    </xf>
    <xf numFmtId="0" fontId="1" fillId="0" borderId="0" xfId="1"/>
    <xf numFmtId="0" fontId="1" fillId="0" borderId="0" xfId="1" applyAlignment="1">
      <alignment horizontal="center"/>
    </xf>
    <xf numFmtId="0" fontId="1" fillId="0" borderId="46" xfId="1" applyBorder="1" applyAlignment="1"/>
    <xf numFmtId="0" fontId="1" fillId="0" borderId="15" xfId="1" applyFont="1" applyBorder="1" applyAlignment="1">
      <alignment horizontal="center"/>
    </xf>
    <xf numFmtId="0" fontId="1" fillId="0" borderId="13" xfId="1" applyFont="1" applyBorder="1" applyAlignment="1">
      <alignment horizontal="center"/>
    </xf>
    <xf numFmtId="0" fontId="1" fillId="0" borderId="12" xfId="1" applyFont="1" applyBorder="1" applyAlignment="1">
      <alignment horizontal="right"/>
    </xf>
    <xf numFmtId="0" fontId="1" fillId="0" borderId="8" xfId="1" applyFont="1" applyBorder="1" applyAlignment="1">
      <alignment horizontal="center"/>
    </xf>
    <xf numFmtId="0" fontId="1" fillId="0" borderId="9" xfId="1" applyFont="1" applyBorder="1" applyAlignment="1">
      <alignment horizontal="center"/>
    </xf>
    <xf numFmtId="0" fontId="1" fillId="0" borderId="7" xfId="1" applyFont="1" applyBorder="1" applyAlignment="1">
      <alignment horizontal="right"/>
    </xf>
    <xf numFmtId="0" fontId="1" fillId="9" borderId="9" xfId="1" applyFont="1" applyFill="1" applyBorder="1" applyAlignment="1">
      <alignment horizontal="center"/>
    </xf>
    <xf numFmtId="0" fontId="1" fillId="9" borderId="7" xfId="1" applyFont="1" applyFill="1" applyBorder="1" applyAlignment="1">
      <alignment horizontal="right"/>
    </xf>
    <xf numFmtId="0" fontId="1" fillId="0" borderId="15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2" xfId="1" applyBorder="1" applyAlignment="1">
      <alignment horizontal="center"/>
    </xf>
    <xf numFmtId="0" fontId="1" fillId="0" borderId="21" xfId="1" applyBorder="1" applyAlignment="1">
      <alignment horizontal="center"/>
    </xf>
    <xf numFmtId="0" fontId="1" fillId="0" borderId="20" xfId="1" applyBorder="1" applyAlignment="1">
      <alignment horizontal="center"/>
    </xf>
    <xf numFmtId="0" fontId="1" fillId="0" borderId="18" xfId="1" applyBorder="1" applyAlignment="1">
      <alignment horizontal="center"/>
    </xf>
    <xf numFmtId="0" fontId="1" fillId="0" borderId="2" xfId="1" applyFont="1" applyBorder="1" applyAlignment="1">
      <alignment horizontal="center"/>
    </xf>
    <xf numFmtId="0" fontId="1" fillId="0" borderId="24" xfId="1" applyFont="1" applyBorder="1" applyAlignment="1">
      <alignment horizontal="center"/>
    </xf>
    <xf numFmtId="0" fontId="1" fillId="0" borderId="1" xfId="1" applyFont="1" applyBorder="1" applyAlignment="1">
      <alignment horizontal="right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2" fontId="2" fillId="11" borderId="9" xfId="0" applyNumberFormat="1" applyFont="1" applyFill="1" applyBorder="1" applyAlignment="1">
      <alignment horizontal="center"/>
    </xf>
    <xf numFmtId="2" fontId="2" fillId="11" borderId="10" xfId="0" applyNumberFormat="1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15" borderId="42" xfId="0" applyFill="1" applyBorder="1" applyAlignment="1">
      <alignment horizontal="center"/>
    </xf>
    <xf numFmtId="0" fontId="0" fillId="15" borderId="43" xfId="0" applyFill="1" applyBorder="1" applyAlignment="1">
      <alignment horizontal="center"/>
    </xf>
    <xf numFmtId="0" fontId="2" fillId="0" borderId="35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left"/>
    </xf>
    <xf numFmtId="0" fontId="2" fillId="14" borderId="1" xfId="0" applyFont="1" applyFill="1" applyBorder="1" applyAlignment="1">
      <alignment horizontal="center"/>
    </xf>
    <xf numFmtId="0" fontId="2" fillId="14" borderId="24" xfId="0" applyFont="1" applyFill="1" applyBorder="1" applyAlignment="1">
      <alignment horizontal="center"/>
    </xf>
    <xf numFmtId="0" fontId="2" fillId="14" borderId="2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2" fillId="13" borderId="24" xfId="0" applyFont="1" applyFill="1" applyBorder="1" applyAlignment="1">
      <alignment horizontal="center"/>
    </xf>
    <xf numFmtId="0" fontId="2" fillId="13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" fillId="11" borderId="12" xfId="0" applyFont="1" applyFill="1" applyBorder="1" applyAlignment="1">
      <alignment horizontal="right"/>
    </xf>
    <xf numFmtId="0" fontId="2" fillId="11" borderId="13" xfId="0" applyFont="1" applyFill="1" applyBorder="1" applyAlignment="1">
      <alignment horizontal="righ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2" fontId="0" fillId="0" borderId="9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2" fillId="11" borderId="7" xfId="0" applyFont="1" applyFill="1" applyBorder="1" applyAlignment="1">
      <alignment horizontal="right"/>
    </xf>
    <xf numFmtId="0" fontId="2" fillId="11" borderId="9" xfId="0" applyFont="1" applyFill="1" applyBorder="1" applyAlignment="1">
      <alignment horizontal="right"/>
    </xf>
    <xf numFmtId="0" fontId="0" fillId="9" borderId="1" xfId="0" applyFill="1" applyBorder="1" applyAlignment="1">
      <alignment horizontal="right"/>
    </xf>
    <xf numFmtId="0" fontId="0" fillId="9" borderId="24" xfId="0" applyFill="1" applyBorder="1" applyAlignment="1">
      <alignment horizontal="right"/>
    </xf>
    <xf numFmtId="0" fontId="0" fillId="9" borderId="12" xfId="0" applyFill="1" applyBorder="1" applyAlignment="1">
      <alignment horizontal="right"/>
    </xf>
    <xf numFmtId="0" fontId="0" fillId="9" borderId="13" xfId="0" applyFill="1" applyBorder="1" applyAlignment="1">
      <alignment horizontal="right"/>
    </xf>
    <xf numFmtId="0" fontId="0" fillId="9" borderId="24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9" borderId="15" xfId="0" applyFill="1" applyBorder="1" applyAlignment="1">
      <alignment horizontal="center"/>
    </xf>
    <xf numFmtId="0" fontId="2" fillId="11" borderId="1" xfId="0" applyFont="1" applyFill="1" applyBorder="1" applyAlignment="1">
      <alignment horizontal="right" vertical="center"/>
    </xf>
    <xf numFmtId="0" fontId="2" fillId="11" borderId="24" xfId="0" applyFont="1" applyFill="1" applyBorder="1" applyAlignment="1">
      <alignment horizontal="right" vertical="center"/>
    </xf>
    <xf numFmtId="2" fontId="2" fillId="11" borderId="24" xfId="0" applyNumberFormat="1" applyFont="1" applyFill="1" applyBorder="1" applyAlignment="1">
      <alignment horizontal="center"/>
    </xf>
    <xf numFmtId="2" fontId="2" fillId="11" borderId="32" xfId="0" applyNumberFormat="1" applyFont="1" applyFill="1" applyBorder="1" applyAlignment="1">
      <alignment horizontal="center"/>
    </xf>
    <xf numFmtId="0" fontId="3" fillId="12" borderId="25" xfId="0" applyFont="1" applyFill="1" applyBorder="1" applyAlignment="1">
      <alignment horizontal="center"/>
    </xf>
    <xf numFmtId="0" fontId="3" fillId="12" borderId="26" xfId="0" applyFont="1" applyFill="1" applyBorder="1" applyAlignment="1">
      <alignment horizontal="center"/>
    </xf>
    <xf numFmtId="0" fontId="3" fillId="12" borderId="27" xfId="0" applyFont="1" applyFill="1" applyBorder="1" applyAlignment="1">
      <alignment horizontal="center"/>
    </xf>
    <xf numFmtId="0" fontId="4" fillId="8" borderId="25" xfId="0" applyFont="1" applyFill="1" applyBorder="1" applyAlignment="1">
      <alignment horizontal="center"/>
    </xf>
    <xf numFmtId="0" fontId="4" fillId="8" borderId="26" xfId="0" applyFont="1" applyFill="1" applyBorder="1" applyAlignment="1">
      <alignment horizontal="center"/>
    </xf>
    <xf numFmtId="0" fontId="4" fillId="8" borderId="27" xfId="0" applyFont="1" applyFill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0" borderId="42" xfId="1" applyFont="1" applyBorder="1" applyAlignment="1">
      <alignment horizontal="center"/>
    </xf>
    <xf numFmtId="0" fontId="7" fillId="0" borderId="45" xfId="1" applyFont="1" applyBorder="1" applyAlignment="1">
      <alignment horizontal="center"/>
    </xf>
    <xf numFmtId="0" fontId="7" fillId="0" borderId="43" xfId="1" applyFont="1" applyBorder="1" applyAlignment="1">
      <alignment horizontal="center"/>
    </xf>
    <xf numFmtId="0" fontId="1" fillId="9" borderId="9" xfId="1" applyFont="1" applyFill="1" applyBorder="1" applyAlignment="1">
      <alignment horizontal="center"/>
    </xf>
    <xf numFmtId="0" fontId="1" fillId="9" borderId="8" xfId="1" applyFont="1" applyFill="1" applyBorder="1" applyAlignment="1">
      <alignment horizontal="center"/>
    </xf>
    <xf numFmtId="0" fontId="2" fillId="2" borderId="46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/>
    </xf>
    <xf numFmtId="0" fontId="2" fillId="10" borderId="24" xfId="0" applyFont="1" applyFill="1" applyBorder="1" applyAlignment="1">
      <alignment horizontal="center"/>
    </xf>
    <xf numFmtId="0" fontId="2" fillId="10" borderId="2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24" xfId="0" applyFont="1" applyFill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16" borderId="12" xfId="0" applyFont="1" applyFill="1" applyBorder="1" applyAlignment="1">
      <alignment horizontal="center"/>
    </xf>
    <xf numFmtId="0" fontId="2" fillId="17" borderId="13" xfId="0" applyFont="1" applyFill="1" applyBorder="1" applyAlignment="1">
      <alignment horizontal="center"/>
    </xf>
    <xf numFmtId="0" fontId="2" fillId="16" borderId="15" xfId="0" applyFont="1" applyFill="1" applyBorder="1" applyAlignment="1">
      <alignment horizontal="center"/>
    </xf>
    <xf numFmtId="0" fontId="2" fillId="3" borderId="16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2" fontId="0" fillId="0" borderId="20" xfId="0" applyNumberFormat="1" applyBorder="1" applyAlignment="1">
      <alignment horizontal="center"/>
    </xf>
    <xf numFmtId="0" fontId="4" fillId="0" borderId="20" xfId="0" applyFont="1" applyFill="1" applyBorder="1" applyAlignment="1">
      <alignment horizontal="center" vertical="center"/>
    </xf>
    <xf numFmtId="0" fontId="3" fillId="18" borderId="12" xfId="0" applyFont="1" applyFill="1" applyBorder="1" applyAlignment="1">
      <alignment horizontal="center"/>
    </xf>
    <xf numFmtId="0" fontId="3" fillId="18" borderId="15" xfId="0" applyFont="1" applyFill="1" applyBorder="1" applyAlignment="1">
      <alignment horizontal="center"/>
    </xf>
    <xf numFmtId="0" fontId="2" fillId="18" borderId="12" xfId="0" applyFont="1" applyFill="1" applyBorder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2" fontId="2" fillId="0" borderId="20" xfId="0" applyNumberFormat="1" applyFont="1" applyFill="1" applyBorder="1" applyAlignment="1">
      <alignment horizontal="center"/>
    </xf>
    <xf numFmtId="169" fontId="0" fillId="0" borderId="0" xfId="0" applyNumberFormat="1"/>
    <xf numFmtId="169" fontId="2" fillId="3" borderId="13" xfId="0" applyNumberFormat="1" applyFont="1" applyFill="1" applyBorder="1" applyAlignment="1">
      <alignment horizontal="center" vertical="center"/>
    </xf>
    <xf numFmtId="169" fontId="0" fillId="0" borderId="20" xfId="0" applyNumberFormat="1" applyBorder="1" applyAlignment="1">
      <alignment horizontal="center" vertical="center"/>
    </xf>
    <xf numFmtId="169" fontId="0" fillId="0" borderId="20" xfId="0" applyNumberFormat="1" applyBorder="1" applyAlignment="1">
      <alignment horizontal="center"/>
    </xf>
    <xf numFmtId="169" fontId="0" fillId="0" borderId="20" xfId="0" applyNumberFormat="1" applyFill="1" applyBorder="1" applyAlignment="1">
      <alignment horizontal="center"/>
    </xf>
    <xf numFmtId="169" fontId="2" fillId="0" borderId="20" xfId="0" applyNumberFormat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 xr:uid="{00000000-0005-0000-0000-00000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78787"/>
      <rgbColor rgb="FF9999FF"/>
      <rgbColor rgb="FF993366"/>
      <rgbColor rgb="FFFFFFCC"/>
      <rgbColor rgb="FFCCFFFF"/>
      <rgbColor rgb="FF660066"/>
      <rgbColor rgb="FFD99694"/>
      <rgbColor rgb="FF0066CC"/>
      <rgbColor rgb="FFD9D9D9"/>
      <rgbColor rgb="FF000080"/>
      <rgbColor rgb="FFFF00FF"/>
      <rgbColor rgb="FFFFD32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3CDDD"/>
      <rgbColor rgb="FFE6B9B8"/>
      <rgbColor rgb="FFCC99FF"/>
      <rgbColor rgb="FFFAC090"/>
      <rgbColor rgb="FF3366FF"/>
      <rgbColor rgb="FF33CCCC"/>
      <rgbColor rgb="FF92D050"/>
      <rgbColor rgb="FFFFC000"/>
      <rgbColor rgb="FFFF972F"/>
      <rgbColor rgb="FFE46C0A"/>
      <rgbColor rgb="FF4A7EBB"/>
      <rgbColor rgb="FF969696"/>
      <rgbColor rgb="FF004586"/>
      <rgbColor rgb="FF339966"/>
      <rgbColor rgb="FF003300"/>
      <rgbColor rgb="FF333300"/>
      <rgbColor rgb="FFFF420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'Inverse kinematic'!$K$18</c:f>
              <c:strCache>
                <c:ptCount val="1"/>
                <c:pt idx="0">
                  <c:v>coxa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kinematic'!$K$19:$K$178</c:f>
              <c:numCache>
                <c:formatCode>0.00</c:formatCode>
                <c:ptCount val="160"/>
                <c:pt idx="0">
                  <c:v>-45</c:v>
                </c:pt>
                <c:pt idx="1">
                  <c:v>-32.470428439608582</c:v>
                </c:pt>
                <c:pt idx="2">
                  <c:v>-32.470428439608582</c:v>
                </c:pt>
                <c:pt idx="3">
                  <c:v>-32.470428439608582</c:v>
                </c:pt>
                <c:pt idx="4">
                  <c:v>-32.470428439608582</c:v>
                </c:pt>
                <c:pt idx="5">
                  <c:v>-32.470428439608582</c:v>
                </c:pt>
                <c:pt idx="6">
                  <c:v>-32.470428439608582</c:v>
                </c:pt>
                <c:pt idx="7">
                  <c:v>-32.470428439608582</c:v>
                </c:pt>
                <c:pt idx="8">
                  <c:v>-32.470428439608582</c:v>
                </c:pt>
                <c:pt idx="9">
                  <c:v>-32.470428439608582</c:v>
                </c:pt>
                <c:pt idx="10">
                  <c:v>-32.470428439608582</c:v>
                </c:pt>
                <c:pt idx="11">
                  <c:v>-32.470428439608582</c:v>
                </c:pt>
                <c:pt idx="12">
                  <c:v>-32.470428439608582</c:v>
                </c:pt>
                <c:pt idx="13">
                  <c:v>-32.470428439608582</c:v>
                </c:pt>
                <c:pt idx="14">
                  <c:v>-32.470428439608582</c:v>
                </c:pt>
                <c:pt idx="15">
                  <c:v>-32.470428439608582</c:v>
                </c:pt>
                <c:pt idx="16">
                  <c:v>-32.470428439608582</c:v>
                </c:pt>
                <c:pt idx="17">
                  <c:v>-32.470428439608582</c:v>
                </c:pt>
                <c:pt idx="18">
                  <c:v>-32.470428439608582</c:v>
                </c:pt>
                <c:pt idx="19">
                  <c:v>-32.470428439608582</c:v>
                </c:pt>
                <c:pt idx="20">
                  <c:v>-32.470428439608582</c:v>
                </c:pt>
                <c:pt idx="21">
                  <c:v>-32.470428439608582</c:v>
                </c:pt>
                <c:pt idx="22">
                  <c:v>-32.470428439608582</c:v>
                </c:pt>
                <c:pt idx="23">
                  <c:v>-32.470428439608582</c:v>
                </c:pt>
                <c:pt idx="24">
                  <c:v>-32.470428439608582</c:v>
                </c:pt>
                <c:pt idx="25">
                  <c:v>-32.470428439608582</c:v>
                </c:pt>
                <c:pt idx="26">
                  <c:v>-32.470428439608582</c:v>
                </c:pt>
                <c:pt idx="27">
                  <c:v>-32.470428439608582</c:v>
                </c:pt>
                <c:pt idx="28">
                  <c:v>-32.470428439608582</c:v>
                </c:pt>
                <c:pt idx="29">
                  <c:v>-32.470428439608582</c:v>
                </c:pt>
                <c:pt idx="30">
                  <c:v>-32.470428439608582</c:v>
                </c:pt>
                <c:pt idx="31">
                  <c:v>-32.470428439608582</c:v>
                </c:pt>
                <c:pt idx="32">
                  <c:v>-32.470428439608582</c:v>
                </c:pt>
                <c:pt idx="33">
                  <c:v>-32.470428439608582</c:v>
                </c:pt>
                <c:pt idx="34">
                  <c:v>-32.470428439608582</c:v>
                </c:pt>
                <c:pt idx="35">
                  <c:v>-32.470428439608582</c:v>
                </c:pt>
                <c:pt idx="36">
                  <c:v>-32.470428439608582</c:v>
                </c:pt>
                <c:pt idx="37">
                  <c:v>-32.470428439608582</c:v>
                </c:pt>
                <c:pt idx="38">
                  <c:v>-32.470428439608582</c:v>
                </c:pt>
                <c:pt idx="39">
                  <c:v>-32.470428439608582</c:v>
                </c:pt>
                <c:pt idx="40">
                  <c:v>-32.470428439608582</c:v>
                </c:pt>
                <c:pt idx="41">
                  <c:v>-32.470428439608582</c:v>
                </c:pt>
                <c:pt idx="42">
                  <c:v>-32.470428439608582</c:v>
                </c:pt>
                <c:pt idx="43">
                  <c:v>-32.470428439608582</c:v>
                </c:pt>
                <c:pt idx="44">
                  <c:v>-32.470428439608582</c:v>
                </c:pt>
                <c:pt idx="45">
                  <c:v>-32.470428439608582</c:v>
                </c:pt>
                <c:pt idx="46">
                  <c:v>-32.470428439608582</c:v>
                </c:pt>
                <c:pt idx="47">
                  <c:v>-32.470428439608582</c:v>
                </c:pt>
                <c:pt idx="48">
                  <c:v>-32.470428439608582</c:v>
                </c:pt>
                <c:pt idx="49">
                  <c:v>-32.470428439608582</c:v>
                </c:pt>
                <c:pt idx="50">
                  <c:v>-32.470428439608582</c:v>
                </c:pt>
                <c:pt idx="51">
                  <c:v>-32.470428439608582</c:v>
                </c:pt>
                <c:pt idx="52">
                  <c:v>-32.470428439608582</c:v>
                </c:pt>
                <c:pt idx="53">
                  <c:v>-32.470428439608582</c:v>
                </c:pt>
                <c:pt idx="54">
                  <c:v>-32.470428439608582</c:v>
                </c:pt>
                <c:pt idx="55">
                  <c:v>-32.470428439608582</c:v>
                </c:pt>
                <c:pt idx="56">
                  <c:v>-32.470428439608582</c:v>
                </c:pt>
                <c:pt idx="57">
                  <c:v>-32.470428439608582</c:v>
                </c:pt>
                <c:pt idx="58">
                  <c:v>-32.470428439608582</c:v>
                </c:pt>
                <c:pt idx="59">
                  <c:v>-32.470428439608582</c:v>
                </c:pt>
                <c:pt idx="60">
                  <c:v>-32.470428439608582</c:v>
                </c:pt>
                <c:pt idx="61">
                  <c:v>-32.470428439608582</c:v>
                </c:pt>
                <c:pt idx="62">
                  <c:v>-32.470428439608582</c:v>
                </c:pt>
                <c:pt idx="63">
                  <c:v>-32.470428439608582</c:v>
                </c:pt>
                <c:pt idx="64">
                  <c:v>-32.470428439608582</c:v>
                </c:pt>
                <c:pt idx="65">
                  <c:v>-32.470428439608582</c:v>
                </c:pt>
                <c:pt idx="66">
                  <c:v>-32.470428439608582</c:v>
                </c:pt>
                <c:pt idx="67">
                  <c:v>-32.470428439608582</c:v>
                </c:pt>
                <c:pt idx="68">
                  <c:v>-32.470428439608582</c:v>
                </c:pt>
                <c:pt idx="69">
                  <c:v>-32.470428439608582</c:v>
                </c:pt>
                <c:pt idx="70">
                  <c:v>-32.470428439608582</c:v>
                </c:pt>
                <c:pt idx="71">
                  <c:v>-32.470428439608582</c:v>
                </c:pt>
                <c:pt idx="72">
                  <c:v>-32.470428439608582</c:v>
                </c:pt>
                <c:pt idx="73">
                  <c:v>-32.470428439608582</c:v>
                </c:pt>
                <c:pt idx="74">
                  <c:v>-32.470428439608582</c:v>
                </c:pt>
                <c:pt idx="75">
                  <c:v>-32.470428439608582</c:v>
                </c:pt>
                <c:pt idx="76">
                  <c:v>-32.470428439608582</c:v>
                </c:pt>
                <c:pt idx="77">
                  <c:v>-32.336042889718456</c:v>
                </c:pt>
                <c:pt idx="78">
                  <c:v>-32.203774214890757</c:v>
                </c:pt>
                <c:pt idx="79">
                  <c:v>-32.073574164746383</c:v>
                </c:pt>
                <c:pt idx="80">
                  <c:v>-31.819193947500128</c:v>
                </c:pt>
                <c:pt idx="81">
                  <c:v>-31.69492414342</c:v>
                </c:pt>
                <c:pt idx="82">
                  <c:v>-31.452010641129672</c:v>
                </c:pt>
                <c:pt idx="83">
                  <c:v>-31.216326712022973</c:v>
                </c:pt>
                <c:pt idx="84">
                  <c:v>-31.10109816138543</c:v>
                </c:pt>
                <c:pt idx="85">
                  <c:v>-30.98756197105681</c:v>
                </c:pt>
                <c:pt idx="86">
                  <c:v>-30.875682001638793</c:v>
                </c:pt>
                <c:pt idx="87">
                  <c:v>-30.656751115760422</c:v>
                </c:pt>
                <c:pt idx="88">
                  <c:v>-30.958636073720864</c:v>
                </c:pt>
                <c:pt idx="89">
                  <c:v>-30.850338298984223</c:v>
                </c:pt>
                <c:pt idx="90">
                  <c:v>-30.743562836470733</c:v>
                </c:pt>
                <c:pt idx="91">
                  <c:v>-30.43206293613591</c:v>
                </c:pt>
                <c:pt idx="92">
                  <c:v>-30.331073350285063</c:v>
                </c:pt>
                <c:pt idx="93">
                  <c:v>-30.231458315642602</c:v>
                </c:pt>
                <c:pt idx="94">
                  <c:v>-30.133190548862917</c:v>
                </c:pt>
                <c:pt idx="95">
                  <c:v>-29.940591170289999</c:v>
                </c:pt>
                <c:pt idx="96">
                  <c:v>-29.84620841182652</c:v>
                </c:pt>
                <c:pt idx="97">
                  <c:v>-29.753070586523044</c:v>
                </c:pt>
                <c:pt idx="98">
                  <c:v>-29.661153706905502</c:v>
                </c:pt>
                <c:pt idx="99">
                  <c:v>-29.851419013804982</c:v>
                </c:pt>
                <c:pt idx="100">
                  <c:v>-29.661153706905502</c:v>
                </c:pt>
                <c:pt idx="101">
                  <c:v>-29.753070586523044</c:v>
                </c:pt>
                <c:pt idx="102">
                  <c:v>-29.84620841182652</c:v>
                </c:pt>
                <c:pt idx="103">
                  <c:v>-29.940591170289999</c:v>
                </c:pt>
                <c:pt idx="104">
                  <c:v>-30.133190548862917</c:v>
                </c:pt>
                <c:pt idx="105">
                  <c:v>-30.231458315642602</c:v>
                </c:pt>
                <c:pt idx="106">
                  <c:v>-30.331073350285063</c:v>
                </c:pt>
                <c:pt idx="107">
                  <c:v>-30.43206293613591</c:v>
                </c:pt>
                <c:pt idx="108">
                  <c:v>-30.638278538373687</c:v>
                </c:pt>
                <c:pt idx="109">
                  <c:v>-30.743562836470733</c:v>
                </c:pt>
                <c:pt idx="110">
                  <c:v>-30.958636073720864</c:v>
                </c:pt>
                <c:pt idx="111">
                  <c:v>-30.656751115760422</c:v>
                </c:pt>
                <c:pt idx="112">
                  <c:v>-30.875682001638793</c:v>
                </c:pt>
                <c:pt idx="113">
                  <c:v>-30.98756197105681</c:v>
                </c:pt>
                <c:pt idx="114">
                  <c:v>-31.10109816138543</c:v>
                </c:pt>
                <c:pt idx="115">
                  <c:v>-31.216326712022973</c:v>
                </c:pt>
                <c:pt idx="116">
                  <c:v>-31.452010641129672</c:v>
                </c:pt>
                <c:pt idx="117">
                  <c:v>-31.572543596810252</c:v>
                </c:pt>
                <c:pt idx="118">
                  <c:v>-31.69492414342</c:v>
                </c:pt>
                <c:pt idx="119">
                  <c:v>-31.819193947500128</c:v>
                </c:pt>
                <c:pt idx="120">
                  <c:v>-32.203774214890757</c:v>
                </c:pt>
                <c:pt idx="121">
                  <c:v>-32.336042889718456</c:v>
                </c:pt>
                <c:pt idx="122">
                  <c:v>-32.011177478808449</c:v>
                </c:pt>
                <c:pt idx="123">
                  <c:v>-32.27967320213051</c:v>
                </c:pt>
                <c:pt idx="124">
                  <c:v>-32.557071375636646</c:v>
                </c:pt>
                <c:pt idx="125">
                  <c:v>-32.843808551727413</c:v>
                </c:pt>
                <c:pt idx="126">
                  <c:v>-33.14034930475772</c:v>
                </c:pt>
                <c:pt idx="127">
                  <c:v>-33.447188423282199</c:v>
                </c:pt>
                <c:pt idx="128">
                  <c:v>-33.764853300697474</c:v>
                </c:pt>
                <c:pt idx="129">
                  <c:v>-33.927919762007228</c:v>
                </c:pt>
                <c:pt idx="130">
                  <c:v>-34.262889942194121</c:v>
                </c:pt>
                <c:pt idx="131">
                  <c:v>-34.610164727827332</c:v>
                </c:pt>
                <c:pt idx="132">
                  <c:v>-34.79988515865265</c:v>
                </c:pt>
                <c:pt idx="133">
                  <c:v>-35.17900802581071</c:v>
                </c:pt>
                <c:pt idx="134">
                  <c:v>-35.573125830410191</c:v>
                </c:pt>
                <c:pt idx="135">
                  <c:v>-35.776076602639193</c:v>
                </c:pt>
                <c:pt idx="136">
                  <c:v>-36.194334245183967</c:v>
                </c:pt>
                <c:pt idx="137">
                  <c:v>-36.629879946126174</c:v>
                </c:pt>
                <c:pt idx="138">
                  <c:v>-37.083754582380642</c:v>
                </c:pt>
                <c:pt idx="139">
                  <c:v>-37.557079285037709</c:v>
                </c:pt>
                <c:pt idx="140">
                  <c:v>-38.051062719076725</c:v>
                </c:pt>
                <c:pt idx="141">
                  <c:v>-39.106326858271565</c:v>
                </c:pt>
                <c:pt idx="142">
                  <c:v>-39.385221057213748</c:v>
                </c:pt>
                <c:pt idx="143">
                  <c:v>-39.962488974578179</c:v>
                </c:pt>
                <c:pt idx="144">
                  <c:v>-39.886499921634744</c:v>
                </c:pt>
                <c:pt idx="145">
                  <c:v>-40.507405230129699</c:v>
                </c:pt>
                <c:pt idx="146">
                  <c:v>-40.507405230129699</c:v>
                </c:pt>
                <c:pt idx="147">
                  <c:v>-39.886499921634744</c:v>
                </c:pt>
                <c:pt idx="148">
                  <c:v>-39.962488974578179</c:v>
                </c:pt>
                <c:pt idx="149">
                  <c:v>-39.385221057213748</c:v>
                </c:pt>
                <c:pt idx="150">
                  <c:v>-39.106326858271565</c:v>
                </c:pt>
                <c:pt idx="151">
                  <c:v>-38.051062719076725</c:v>
                </c:pt>
                <c:pt idx="152">
                  <c:v>-37.557079285037709</c:v>
                </c:pt>
                <c:pt idx="153">
                  <c:v>-37.083754582380642</c:v>
                </c:pt>
                <c:pt idx="154">
                  <c:v>-36.629879946126174</c:v>
                </c:pt>
                <c:pt idx="155">
                  <c:v>-36.194334245183967</c:v>
                </c:pt>
                <c:pt idx="156">
                  <c:v>-35.776076602639193</c:v>
                </c:pt>
                <c:pt idx="157">
                  <c:v>-35.573125830410191</c:v>
                </c:pt>
                <c:pt idx="158">
                  <c:v>-35.17900802581071</c:v>
                </c:pt>
                <c:pt idx="159">
                  <c:v>-34.79988515865265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DD-418E-964D-C29035EC942B}"/>
            </c:ext>
          </c:extLst>
        </c:ser>
        <c:ser>
          <c:idx val="1"/>
          <c:order val="1"/>
          <c:tx>
            <c:strRef>
              <c:f>'Inverse kinematic'!$L$18</c:f>
              <c:strCache>
                <c:ptCount val="1"/>
                <c:pt idx="0">
                  <c:v>femur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kinematic'!$L$19:$L$178</c:f>
              <c:numCache>
                <c:formatCode>0.00</c:formatCode>
                <c:ptCount val="160"/>
                <c:pt idx="0">
                  <c:v>-40</c:v>
                </c:pt>
                <c:pt idx="1">
                  <c:v>-40</c:v>
                </c:pt>
                <c:pt idx="2">
                  <c:v>-40</c:v>
                </c:pt>
                <c:pt idx="3">
                  <c:v>-40</c:v>
                </c:pt>
                <c:pt idx="4">
                  <c:v>-40</c:v>
                </c:pt>
                <c:pt idx="5">
                  <c:v>-40</c:v>
                </c:pt>
                <c:pt idx="6">
                  <c:v>-40</c:v>
                </c:pt>
                <c:pt idx="7">
                  <c:v>-40</c:v>
                </c:pt>
                <c:pt idx="8">
                  <c:v>-40</c:v>
                </c:pt>
                <c:pt idx="9">
                  <c:v>-40</c:v>
                </c:pt>
                <c:pt idx="10">
                  <c:v>-40</c:v>
                </c:pt>
                <c:pt idx="11">
                  <c:v>-40</c:v>
                </c:pt>
                <c:pt idx="12">
                  <c:v>-40</c:v>
                </c:pt>
                <c:pt idx="13">
                  <c:v>-40</c:v>
                </c:pt>
                <c:pt idx="14">
                  <c:v>-40</c:v>
                </c:pt>
                <c:pt idx="15">
                  <c:v>-40</c:v>
                </c:pt>
                <c:pt idx="16">
                  <c:v>-40</c:v>
                </c:pt>
                <c:pt idx="17">
                  <c:v>-40</c:v>
                </c:pt>
                <c:pt idx="18">
                  <c:v>-40</c:v>
                </c:pt>
                <c:pt idx="19">
                  <c:v>-40</c:v>
                </c:pt>
                <c:pt idx="20">
                  <c:v>-40</c:v>
                </c:pt>
                <c:pt idx="21">
                  <c:v>-40</c:v>
                </c:pt>
                <c:pt idx="22">
                  <c:v>-40</c:v>
                </c:pt>
                <c:pt idx="23">
                  <c:v>-40</c:v>
                </c:pt>
                <c:pt idx="24">
                  <c:v>-40</c:v>
                </c:pt>
                <c:pt idx="25">
                  <c:v>-40</c:v>
                </c:pt>
                <c:pt idx="26">
                  <c:v>-40</c:v>
                </c:pt>
                <c:pt idx="27">
                  <c:v>-40</c:v>
                </c:pt>
                <c:pt idx="28">
                  <c:v>-40</c:v>
                </c:pt>
                <c:pt idx="29">
                  <c:v>-40</c:v>
                </c:pt>
                <c:pt idx="30">
                  <c:v>-40</c:v>
                </c:pt>
                <c:pt idx="31">
                  <c:v>-40</c:v>
                </c:pt>
                <c:pt idx="32">
                  <c:v>-40</c:v>
                </c:pt>
                <c:pt idx="33">
                  <c:v>-40</c:v>
                </c:pt>
                <c:pt idx="34">
                  <c:v>-40</c:v>
                </c:pt>
                <c:pt idx="35">
                  <c:v>-40</c:v>
                </c:pt>
                <c:pt idx="36">
                  <c:v>-40</c:v>
                </c:pt>
                <c:pt idx="37">
                  <c:v>-40</c:v>
                </c:pt>
                <c:pt idx="38">
                  <c:v>-40</c:v>
                </c:pt>
                <c:pt idx="39">
                  <c:v>-40</c:v>
                </c:pt>
                <c:pt idx="40">
                  <c:v>-40</c:v>
                </c:pt>
                <c:pt idx="41">
                  <c:v>-40</c:v>
                </c:pt>
                <c:pt idx="42">
                  <c:v>-40</c:v>
                </c:pt>
                <c:pt idx="43">
                  <c:v>-40</c:v>
                </c:pt>
                <c:pt idx="44">
                  <c:v>-40</c:v>
                </c:pt>
                <c:pt idx="45">
                  <c:v>-40</c:v>
                </c:pt>
                <c:pt idx="46">
                  <c:v>-40</c:v>
                </c:pt>
                <c:pt idx="47">
                  <c:v>-40</c:v>
                </c:pt>
                <c:pt idx="48">
                  <c:v>-40</c:v>
                </c:pt>
                <c:pt idx="49">
                  <c:v>-40</c:v>
                </c:pt>
                <c:pt idx="50">
                  <c:v>-40</c:v>
                </c:pt>
                <c:pt idx="51">
                  <c:v>-40</c:v>
                </c:pt>
                <c:pt idx="52">
                  <c:v>-40</c:v>
                </c:pt>
                <c:pt idx="53">
                  <c:v>-40</c:v>
                </c:pt>
                <c:pt idx="54">
                  <c:v>-40</c:v>
                </c:pt>
                <c:pt idx="55">
                  <c:v>-40</c:v>
                </c:pt>
                <c:pt idx="56">
                  <c:v>-40</c:v>
                </c:pt>
                <c:pt idx="57">
                  <c:v>-40</c:v>
                </c:pt>
                <c:pt idx="58">
                  <c:v>-40</c:v>
                </c:pt>
                <c:pt idx="59">
                  <c:v>-40</c:v>
                </c:pt>
                <c:pt idx="60">
                  <c:v>-40</c:v>
                </c:pt>
                <c:pt idx="61">
                  <c:v>-40</c:v>
                </c:pt>
                <c:pt idx="62">
                  <c:v>-40</c:v>
                </c:pt>
                <c:pt idx="63">
                  <c:v>-40</c:v>
                </c:pt>
                <c:pt idx="64">
                  <c:v>-40</c:v>
                </c:pt>
                <c:pt idx="65">
                  <c:v>-40</c:v>
                </c:pt>
                <c:pt idx="66">
                  <c:v>-40</c:v>
                </c:pt>
                <c:pt idx="67">
                  <c:v>-40</c:v>
                </c:pt>
                <c:pt idx="68">
                  <c:v>-40</c:v>
                </c:pt>
                <c:pt idx="69">
                  <c:v>-40</c:v>
                </c:pt>
                <c:pt idx="70">
                  <c:v>-40</c:v>
                </c:pt>
                <c:pt idx="71">
                  <c:v>-40</c:v>
                </c:pt>
                <c:pt idx="72">
                  <c:v>-40</c:v>
                </c:pt>
                <c:pt idx="73">
                  <c:v>-40</c:v>
                </c:pt>
                <c:pt idx="74">
                  <c:v>-40</c:v>
                </c:pt>
                <c:pt idx="75">
                  <c:v>-40</c:v>
                </c:pt>
                <c:pt idx="76">
                  <c:v>-40</c:v>
                </c:pt>
                <c:pt idx="77">
                  <c:v>-40</c:v>
                </c:pt>
                <c:pt idx="78">
                  <c:v>-40</c:v>
                </c:pt>
                <c:pt idx="79">
                  <c:v>-40</c:v>
                </c:pt>
                <c:pt idx="80">
                  <c:v>-40</c:v>
                </c:pt>
                <c:pt idx="81">
                  <c:v>-40</c:v>
                </c:pt>
                <c:pt idx="82">
                  <c:v>-40</c:v>
                </c:pt>
                <c:pt idx="83">
                  <c:v>-40</c:v>
                </c:pt>
                <c:pt idx="84">
                  <c:v>-40</c:v>
                </c:pt>
                <c:pt idx="85">
                  <c:v>-40</c:v>
                </c:pt>
                <c:pt idx="86">
                  <c:v>-40</c:v>
                </c:pt>
                <c:pt idx="87">
                  <c:v>-40</c:v>
                </c:pt>
                <c:pt idx="88">
                  <c:v>-40</c:v>
                </c:pt>
                <c:pt idx="89">
                  <c:v>-40</c:v>
                </c:pt>
                <c:pt idx="90">
                  <c:v>-40</c:v>
                </c:pt>
                <c:pt idx="91">
                  <c:v>-40</c:v>
                </c:pt>
                <c:pt idx="92">
                  <c:v>-40</c:v>
                </c:pt>
                <c:pt idx="93">
                  <c:v>-40</c:v>
                </c:pt>
                <c:pt idx="94">
                  <c:v>-40</c:v>
                </c:pt>
                <c:pt idx="95">
                  <c:v>-40</c:v>
                </c:pt>
                <c:pt idx="96">
                  <c:v>-40</c:v>
                </c:pt>
                <c:pt idx="97">
                  <c:v>-40</c:v>
                </c:pt>
                <c:pt idx="98">
                  <c:v>-40</c:v>
                </c:pt>
                <c:pt idx="99">
                  <c:v>-40</c:v>
                </c:pt>
                <c:pt idx="100">
                  <c:v>-40</c:v>
                </c:pt>
                <c:pt idx="101">
                  <c:v>-40</c:v>
                </c:pt>
                <c:pt idx="102">
                  <c:v>-40</c:v>
                </c:pt>
                <c:pt idx="103">
                  <c:v>-40</c:v>
                </c:pt>
                <c:pt idx="104">
                  <c:v>-40</c:v>
                </c:pt>
                <c:pt idx="105">
                  <c:v>-40</c:v>
                </c:pt>
                <c:pt idx="106">
                  <c:v>-40</c:v>
                </c:pt>
                <c:pt idx="107">
                  <c:v>-40</c:v>
                </c:pt>
                <c:pt idx="108">
                  <c:v>-40</c:v>
                </c:pt>
                <c:pt idx="109">
                  <c:v>-40</c:v>
                </c:pt>
                <c:pt idx="110">
                  <c:v>-40</c:v>
                </c:pt>
                <c:pt idx="111">
                  <c:v>-40</c:v>
                </c:pt>
                <c:pt idx="112">
                  <c:v>-40</c:v>
                </c:pt>
                <c:pt idx="113">
                  <c:v>-40</c:v>
                </c:pt>
                <c:pt idx="114">
                  <c:v>-40</c:v>
                </c:pt>
                <c:pt idx="115">
                  <c:v>-40</c:v>
                </c:pt>
                <c:pt idx="116">
                  <c:v>-40</c:v>
                </c:pt>
                <c:pt idx="117">
                  <c:v>-40</c:v>
                </c:pt>
                <c:pt idx="118">
                  <c:v>-40</c:v>
                </c:pt>
                <c:pt idx="119">
                  <c:v>-40</c:v>
                </c:pt>
                <c:pt idx="120">
                  <c:v>-40</c:v>
                </c:pt>
                <c:pt idx="121">
                  <c:v>-40</c:v>
                </c:pt>
                <c:pt idx="122">
                  <c:v>-40</c:v>
                </c:pt>
                <c:pt idx="123">
                  <c:v>-40</c:v>
                </c:pt>
                <c:pt idx="124">
                  <c:v>-40</c:v>
                </c:pt>
                <c:pt idx="125">
                  <c:v>-40</c:v>
                </c:pt>
                <c:pt idx="126">
                  <c:v>-40</c:v>
                </c:pt>
                <c:pt idx="127">
                  <c:v>-40</c:v>
                </c:pt>
                <c:pt idx="128">
                  <c:v>-40</c:v>
                </c:pt>
                <c:pt idx="129">
                  <c:v>-40</c:v>
                </c:pt>
                <c:pt idx="130">
                  <c:v>-40</c:v>
                </c:pt>
                <c:pt idx="131">
                  <c:v>-40</c:v>
                </c:pt>
                <c:pt idx="132">
                  <c:v>-40</c:v>
                </c:pt>
                <c:pt idx="133">
                  <c:v>-40</c:v>
                </c:pt>
                <c:pt idx="134">
                  <c:v>-40</c:v>
                </c:pt>
                <c:pt idx="135">
                  <c:v>-40</c:v>
                </c:pt>
                <c:pt idx="136">
                  <c:v>-40</c:v>
                </c:pt>
                <c:pt idx="137">
                  <c:v>-40</c:v>
                </c:pt>
                <c:pt idx="138">
                  <c:v>-40</c:v>
                </c:pt>
                <c:pt idx="139">
                  <c:v>-40</c:v>
                </c:pt>
                <c:pt idx="140">
                  <c:v>-40</c:v>
                </c:pt>
                <c:pt idx="141">
                  <c:v>-40</c:v>
                </c:pt>
                <c:pt idx="142">
                  <c:v>-40</c:v>
                </c:pt>
                <c:pt idx="143">
                  <c:v>-40</c:v>
                </c:pt>
                <c:pt idx="144">
                  <c:v>-40</c:v>
                </c:pt>
                <c:pt idx="145">
                  <c:v>-40</c:v>
                </c:pt>
                <c:pt idx="146">
                  <c:v>-40</c:v>
                </c:pt>
                <c:pt idx="147">
                  <c:v>-40</c:v>
                </c:pt>
                <c:pt idx="148">
                  <c:v>-40</c:v>
                </c:pt>
                <c:pt idx="149">
                  <c:v>-40</c:v>
                </c:pt>
                <c:pt idx="150">
                  <c:v>-40</c:v>
                </c:pt>
                <c:pt idx="151">
                  <c:v>-40</c:v>
                </c:pt>
                <c:pt idx="152">
                  <c:v>-40</c:v>
                </c:pt>
                <c:pt idx="153">
                  <c:v>-40</c:v>
                </c:pt>
                <c:pt idx="154">
                  <c:v>-40</c:v>
                </c:pt>
                <c:pt idx="155">
                  <c:v>-40</c:v>
                </c:pt>
                <c:pt idx="156">
                  <c:v>-40</c:v>
                </c:pt>
                <c:pt idx="157">
                  <c:v>-40</c:v>
                </c:pt>
                <c:pt idx="158">
                  <c:v>-40</c:v>
                </c:pt>
                <c:pt idx="159">
                  <c:v>-40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DD-418E-964D-C29035EC942B}"/>
            </c:ext>
          </c:extLst>
        </c:ser>
        <c:ser>
          <c:idx val="2"/>
          <c:order val="2"/>
          <c:tx>
            <c:strRef>
              <c:f>'Inverse kinematic'!$M$18</c:f>
              <c:strCache>
                <c:ptCount val="1"/>
                <c:pt idx="0">
                  <c:v>tibia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kinematic'!$M$19:$M$178</c:f>
              <c:numCache>
                <c:formatCode>0.00</c:formatCode>
                <c:ptCount val="160"/>
                <c:pt idx="0">
                  <c:v>-4.7258902977535797</c:v>
                </c:pt>
                <c:pt idx="1">
                  <c:v>-13</c:v>
                </c:pt>
                <c:pt idx="2">
                  <c:v>-13</c:v>
                </c:pt>
                <c:pt idx="3">
                  <c:v>-13</c:v>
                </c:pt>
                <c:pt idx="4">
                  <c:v>-13</c:v>
                </c:pt>
                <c:pt idx="5">
                  <c:v>-13</c:v>
                </c:pt>
                <c:pt idx="6">
                  <c:v>-13</c:v>
                </c:pt>
                <c:pt idx="7">
                  <c:v>-13</c:v>
                </c:pt>
                <c:pt idx="8">
                  <c:v>-13</c:v>
                </c:pt>
                <c:pt idx="9">
                  <c:v>-13</c:v>
                </c:pt>
                <c:pt idx="10">
                  <c:v>-13</c:v>
                </c:pt>
                <c:pt idx="11">
                  <c:v>-13</c:v>
                </c:pt>
                <c:pt idx="12">
                  <c:v>-13</c:v>
                </c:pt>
                <c:pt idx="13">
                  <c:v>-13</c:v>
                </c:pt>
                <c:pt idx="14">
                  <c:v>-13</c:v>
                </c:pt>
                <c:pt idx="15">
                  <c:v>-13</c:v>
                </c:pt>
                <c:pt idx="16">
                  <c:v>-13</c:v>
                </c:pt>
                <c:pt idx="17">
                  <c:v>-13</c:v>
                </c:pt>
                <c:pt idx="18">
                  <c:v>-13</c:v>
                </c:pt>
                <c:pt idx="19">
                  <c:v>-13</c:v>
                </c:pt>
                <c:pt idx="20">
                  <c:v>-13</c:v>
                </c:pt>
                <c:pt idx="21">
                  <c:v>-13</c:v>
                </c:pt>
                <c:pt idx="22">
                  <c:v>-12.602190325436467</c:v>
                </c:pt>
                <c:pt idx="23">
                  <c:v>-12.383554462445233</c:v>
                </c:pt>
                <c:pt idx="24">
                  <c:v>-11.928209382911419</c:v>
                </c:pt>
                <c:pt idx="25">
                  <c:v>-11.691572767728097</c:v>
                </c:pt>
                <c:pt idx="26">
                  <c:v>-11.200553702328072</c:v>
                </c:pt>
                <c:pt idx="27">
                  <c:v>-10.946244268999877</c:v>
                </c:pt>
                <c:pt idx="28">
                  <c:v>-10.420207712090203</c:v>
                </c:pt>
                <c:pt idx="29">
                  <c:v>-10.148553035018665</c:v>
                </c:pt>
                <c:pt idx="30">
                  <c:v>-9.5881503762388718</c:v>
                </c:pt>
                <c:pt idx="31">
                  <c:v>-9.5881503762388718</c:v>
                </c:pt>
                <c:pt idx="32">
                  <c:v>-9.5881503762388718</c:v>
                </c:pt>
                <c:pt idx="33">
                  <c:v>-9.5881503762388718</c:v>
                </c:pt>
                <c:pt idx="34">
                  <c:v>-9.5881503762388718</c:v>
                </c:pt>
                <c:pt idx="35">
                  <c:v>-9.5881503762388718</c:v>
                </c:pt>
                <c:pt idx="36">
                  <c:v>-9.5881503762388718</c:v>
                </c:pt>
                <c:pt idx="37">
                  <c:v>-9.5881503762388718</c:v>
                </c:pt>
                <c:pt idx="38">
                  <c:v>-9.5881503762388718</c:v>
                </c:pt>
                <c:pt idx="39">
                  <c:v>-9.5881503762388718</c:v>
                </c:pt>
                <c:pt idx="40">
                  <c:v>-9.5881503762388718</c:v>
                </c:pt>
                <c:pt idx="41">
                  <c:v>-9.5881503762388718</c:v>
                </c:pt>
                <c:pt idx="42">
                  <c:v>-9.5881503762388718</c:v>
                </c:pt>
                <c:pt idx="43">
                  <c:v>-9.5881503762388718</c:v>
                </c:pt>
                <c:pt idx="44">
                  <c:v>-9.5881503762388718</c:v>
                </c:pt>
                <c:pt idx="45">
                  <c:v>-9.5881503762388718</c:v>
                </c:pt>
                <c:pt idx="46">
                  <c:v>-9.5881503762388718</c:v>
                </c:pt>
                <c:pt idx="47">
                  <c:v>-10.148553035018665</c:v>
                </c:pt>
                <c:pt idx="48">
                  <c:v>-10.420207712090203</c:v>
                </c:pt>
                <c:pt idx="49">
                  <c:v>-10.946244268999877</c:v>
                </c:pt>
                <c:pt idx="50">
                  <c:v>-11.200553702328072</c:v>
                </c:pt>
                <c:pt idx="51">
                  <c:v>-11.691572767728097</c:v>
                </c:pt>
                <c:pt idx="52">
                  <c:v>-11.200553702328072</c:v>
                </c:pt>
                <c:pt idx="53">
                  <c:v>-10.946244268999877</c:v>
                </c:pt>
                <c:pt idx="54">
                  <c:v>-10.420207712090203</c:v>
                </c:pt>
                <c:pt idx="55">
                  <c:v>-10.148553035018665</c:v>
                </c:pt>
                <c:pt idx="56">
                  <c:v>-9.5881503762388718</c:v>
                </c:pt>
                <c:pt idx="57">
                  <c:v>-9.5881503762388718</c:v>
                </c:pt>
                <c:pt idx="58">
                  <c:v>-9.5881503762388718</c:v>
                </c:pt>
                <c:pt idx="59">
                  <c:v>-9.5881503762388718</c:v>
                </c:pt>
                <c:pt idx="60">
                  <c:v>-9.5881503762388718</c:v>
                </c:pt>
                <c:pt idx="61">
                  <c:v>-9.5881503762388718</c:v>
                </c:pt>
                <c:pt idx="62">
                  <c:v>-9.5881503762388718</c:v>
                </c:pt>
                <c:pt idx="63">
                  <c:v>-9.5881503762388718</c:v>
                </c:pt>
                <c:pt idx="64">
                  <c:v>-9.5881503762388718</c:v>
                </c:pt>
                <c:pt idx="65">
                  <c:v>-9.5881503762388718</c:v>
                </c:pt>
                <c:pt idx="66">
                  <c:v>-9.5881503762388718</c:v>
                </c:pt>
                <c:pt idx="67">
                  <c:v>-9.5881503762388718</c:v>
                </c:pt>
                <c:pt idx="68">
                  <c:v>-9.5881503762388718</c:v>
                </c:pt>
                <c:pt idx="69">
                  <c:v>-9.5881503762388718</c:v>
                </c:pt>
                <c:pt idx="70">
                  <c:v>-9.5881503762388718</c:v>
                </c:pt>
                <c:pt idx="71">
                  <c:v>-9.5881503762388718</c:v>
                </c:pt>
                <c:pt idx="72">
                  <c:v>-9.5881503762388718</c:v>
                </c:pt>
                <c:pt idx="73">
                  <c:v>-9.5881503762388718</c:v>
                </c:pt>
                <c:pt idx="74">
                  <c:v>-9.5881503762388718</c:v>
                </c:pt>
                <c:pt idx="75">
                  <c:v>-9.5881503762388718</c:v>
                </c:pt>
                <c:pt idx="76">
                  <c:v>-9.5881503762388718</c:v>
                </c:pt>
                <c:pt idx="77">
                  <c:v>-9.235166673226459</c:v>
                </c:pt>
                <c:pt idx="78">
                  <c:v>-8.5963723028764036</c:v>
                </c:pt>
                <c:pt idx="79">
                  <c:v>-7.9547699868226687</c:v>
                </c:pt>
                <c:pt idx="80">
                  <c:v>-6.933066736072206</c:v>
                </c:pt>
                <c:pt idx="81">
                  <c:v>-6.5445754612088791</c:v>
                </c:pt>
                <c:pt idx="82">
                  <c:v>-5.7342090197561788</c:v>
                </c:pt>
                <c:pt idx="83">
                  <c:v>-4.6443622193999801</c:v>
                </c:pt>
                <c:pt idx="84">
                  <c:v>-4.4363689242048281</c:v>
                </c:pt>
                <c:pt idx="85">
                  <c:v>-3.9821100070419106</c:v>
                </c:pt>
                <c:pt idx="86">
                  <c:v>-3.7265485686000375</c:v>
                </c:pt>
                <c:pt idx="87">
                  <c:v>-2.7514114252938242</c:v>
                </c:pt>
                <c:pt idx="88">
                  <c:v>-2.248555375724635</c:v>
                </c:pt>
                <c:pt idx="89">
                  <c:v>-1.8997020864322991</c:v>
                </c:pt>
                <c:pt idx="90">
                  <c:v>-1.5216628107197323</c:v>
                </c:pt>
                <c:pt idx="91">
                  <c:v>-9.2350481573134857E-2</c:v>
                </c:pt>
                <c:pt idx="92">
                  <c:v>0.38844410419090991</c:v>
                </c:pt>
                <c:pt idx="93">
                  <c:v>0.79997919778429605</c:v>
                </c:pt>
                <c:pt idx="94">
                  <c:v>1.2696433105359688</c:v>
                </c:pt>
                <c:pt idx="95">
                  <c:v>2.5930882005106923</c:v>
                </c:pt>
                <c:pt idx="96">
                  <c:v>3.1640332828227855</c:v>
                </c:pt>
                <c:pt idx="97">
                  <c:v>3.7919017247507298</c:v>
                </c:pt>
                <c:pt idx="98">
                  <c:v>4.4763220579163203</c:v>
                </c:pt>
                <c:pt idx="99">
                  <c:v>6.1506194390690041</c:v>
                </c:pt>
                <c:pt idx="100">
                  <c:v>4.4646834301127427</c:v>
                </c:pt>
                <c:pt idx="101">
                  <c:v>3.7189522886695698</c:v>
                </c:pt>
                <c:pt idx="102">
                  <c:v>2.9767422235914438</c:v>
                </c:pt>
                <c:pt idx="103">
                  <c:v>2.2379607470498826</c:v>
                </c:pt>
                <c:pt idx="104">
                  <c:v>0.77032590296776959</c:v>
                </c:pt>
                <c:pt idx="105">
                  <c:v>4.12994601857406E-2</c:v>
                </c:pt>
                <c:pt idx="106">
                  <c:v>-0.68464479305224302</c:v>
                </c:pt>
                <c:pt idx="107">
                  <c:v>-1.4075881906827021</c:v>
                </c:pt>
                <c:pt idx="108">
                  <c:v>-2.8447884783237782</c:v>
                </c:pt>
                <c:pt idx="109">
                  <c:v>-3.5591990751104134</c:v>
                </c:pt>
                <c:pt idx="110">
                  <c:v>-4.98001352257387</c:v>
                </c:pt>
                <c:pt idx="111">
                  <c:v>-5.8738412952117898</c:v>
                </c:pt>
                <c:pt idx="112">
                  <c:v>-7.2812079485231322</c:v>
                </c:pt>
                <c:pt idx="113">
                  <c:v>-7.9813923951528807</c:v>
                </c:pt>
                <c:pt idx="114">
                  <c:v>-8.6793344880027661</c:v>
                </c:pt>
                <c:pt idx="115">
                  <c:v>-9.3751007346955788</c:v>
                </c:pt>
                <c:pt idx="116">
                  <c:v>-10.76036762342909</c:v>
                </c:pt>
                <c:pt idx="117">
                  <c:v>-11.449997425775763</c:v>
                </c:pt>
                <c:pt idx="118">
                  <c:v>-12.137709862708178</c:v>
                </c:pt>
                <c:pt idx="119">
                  <c:v>-12.823568067876487</c:v>
                </c:pt>
                <c:pt idx="120">
                  <c:v>-13</c:v>
                </c:pt>
                <c:pt idx="121">
                  <c:v>-13</c:v>
                </c:pt>
                <c:pt idx="122">
                  <c:v>-13</c:v>
                </c:pt>
                <c:pt idx="123">
                  <c:v>-13</c:v>
                </c:pt>
                <c:pt idx="124">
                  <c:v>-13</c:v>
                </c:pt>
                <c:pt idx="125">
                  <c:v>-13</c:v>
                </c:pt>
                <c:pt idx="126">
                  <c:v>-13</c:v>
                </c:pt>
                <c:pt idx="127">
                  <c:v>-13</c:v>
                </c:pt>
                <c:pt idx="128">
                  <c:v>-13</c:v>
                </c:pt>
                <c:pt idx="129">
                  <c:v>-13</c:v>
                </c:pt>
                <c:pt idx="130">
                  <c:v>-13</c:v>
                </c:pt>
                <c:pt idx="131">
                  <c:v>-13</c:v>
                </c:pt>
                <c:pt idx="132">
                  <c:v>-13</c:v>
                </c:pt>
                <c:pt idx="133">
                  <c:v>-13</c:v>
                </c:pt>
                <c:pt idx="134">
                  <c:v>-13</c:v>
                </c:pt>
                <c:pt idx="135">
                  <c:v>-13</c:v>
                </c:pt>
                <c:pt idx="136">
                  <c:v>-13</c:v>
                </c:pt>
                <c:pt idx="137">
                  <c:v>-13</c:v>
                </c:pt>
                <c:pt idx="138">
                  <c:v>-13</c:v>
                </c:pt>
                <c:pt idx="139">
                  <c:v>-13</c:v>
                </c:pt>
                <c:pt idx="140">
                  <c:v>-13</c:v>
                </c:pt>
                <c:pt idx="141">
                  <c:v>-13</c:v>
                </c:pt>
                <c:pt idx="142">
                  <c:v>-13</c:v>
                </c:pt>
                <c:pt idx="143">
                  <c:v>-13</c:v>
                </c:pt>
                <c:pt idx="144">
                  <c:v>-13</c:v>
                </c:pt>
                <c:pt idx="145">
                  <c:v>-13</c:v>
                </c:pt>
                <c:pt idx="146">
                  <c:v>-13</c:v>
                </c:pt>
                <c:pt idx="147">
                  <c:v>-13</c:v>
                </c:pt>
                <c:pt idx="148">
                  <c:v>-13</c:v>
                </c:pt>
                <c:pt idx="149">
                  <c:v>-13</c:v>
                </c:pt>
                <c:pt idx="150">
                  <c:v>-13</c:v>
                </c:pt>
                <c:pt idx="151">
                  <c:v>-13</c:v>
                </c:pt>
                <c:pt idx="152">
                  <c:v>-13</c:v>
                </c:pt>
                <c:pt idx="153">
                  <c:v>-13</c:v>
                </c:pt>
                <c:pt idx="154">
                  <c:v>-13</c:v>
                </c:pt>
                <c:pt idx="155">
                  <c:v>-13</c:v>
                </c:pt>
                <c:pt idx="156">
                  <c:v>-13</c:v>
                </c:pt>
                <c:pt idx="157">
                  <c:v>-13</c:v>
                </c:pt>
                <c:pt idx="158">
                  <c:v>-13</c:v>
                </c:pt>
                <c:pt idx="159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8DD-418E-964D-C29035EC9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1885071"/>
        <c:axId val="245580095"/>
      </c:lineChart>
      <c:catAx>
        <c:axId val="241885071"/>
        <c:scaling>
          <c:orientation val="minMax"/>
        </c:scaling>
        <c:delete val="1"/>
        <c:axPos val="b"/>
        <c:majorTickMark val="none"/>
        <c:minorTickMark val="none"/>
        <c:tickLblPos val="nextTo"/>
        <c:crossAx val="245580095"/>
        <c:crosses val="autoZero"/>
        <c:auto val="1"/>
        <c:lblAlgn val="ctr"/>
        <c:lblOffset val="100"/>
        <c:noMultiLvlLbl val="0"/>
      </c:catAx>
      <c:valAx>
        <c:axId val="245580095"/>
        <c:scaling>
          <c:orientation val="minMax"/>
          <c:max val="180"/>
          <c:min val="-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41885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'Inverse kinematic'!$H$18</c:f>
              <c:strCache>
                <c:ptCount val="1"/>
                <c:pt idx="0">
                  <c:v>coxa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kinematic'!$H$19:$H$178</c:f>
              <c:numCache>
                <c:formatCode>0.00</c:formatCode>
                <c:ptCount val="160"/>
                <c:pt idx="0">
                  <c:v>-106</c:v>
                </c:pt>
                <c:pt idx="1">
                  <c:v>-32.470428439608582</c:v>
                </c:pt>
                <c:pt idx="2">
                  <c:v>-32.470428439608582</c:v>
                </c:pt>
                <c:pt idx="3">
                  <c:v>-32.470428439608582</c:v>
                </c:pt>
                <c:pt idx="4">
                  <c:v>-32.470428439608582</c:v>
                </c:pt>
                <c:pt idx="5">
                  <c:v>-32.470428439608582</c:v>
                </c:pt>
                <c:pt idx="6">
                  <c:v>-32.470428439608582</c:v>
                </c:pt>
                <c:pt idx="7">
                  <c:v>-32.470428439608582</c:v>
                </c:pt>
                <c:pt idx="8">
                  <c:v>-32.470428439608582</c:v>
                </c:pt>
                <c:pt idx="9">
                  <c:v>-32.470428439608582</c:v>
                </c:pt>
                <c:pt idx="10">
                  <c:v>-32.470428439608582</c:v>
                </c:pt>
                <c:pt idx="11">
                  <c:v>-32.470428439608582</c:v>
                </c:pt>
                <c:pt idx="12">
                  <c:v>-32.470428439608582</c:v>
                </c:pt>
                <c:pt idx="13">
                  <c:v>-32.470428439608582</c:v>
                </c:pt>
                <c:pt idx="14">
                  <c:v>-32.470428439608582</c:v>
                </c:pt>
                <c:pt idx="15">
                  <c:v>-32.470428439608582</c:v>
                </c:pt>
                <c:pt idx="16">
                  <c:v>-32.470428439608582</c:v>
                </c:pt>
                <c:pt idx="17">
                  <c:v>-32.470428439608582</c:v>
                </c:pt>
                <c:pt idx="18">
                  <c:v>-32.470428439608582</c:v>
                </c:pt>
                <c:pt idx="19">
                  <c:v>-32.470428439608582</c:v>
                </c:pt>
                <c:pt idx="20">
                  <c:v>-32.470428439608582</c:v>
                </c:pt>
                <c:pt idx="21">
                  <c:v>-32.470428439608582</c:v>
                </c:pt>
                <c:pt idx="22">
                  <c:v>-32.470428439608582</c:v>
                </c:pt>
                <c:pt idx="23">
                  <c:v>-32.470428439608582</c:v>
                </c:pt>
                <c:pt idx="24">
                  <c:v>-32.470428439608582</c:v>
                </c:pt>
                <c:pt idx="25">
                  <c:v>-32.470428439608582</c:v>
                </c:pt>
                <c:pt idx="26">
                  <c:v>-32.470428439608582</c:v>
                </c:pt>
                <c:pt idx="27">
                  <c:v>-32.470428439608582</c:v>
                </c:pt>
                <c:pt idx="28">
                  <c:v>-32.470428439608582</c:v>
                </c:pt>
                <c:pt idx="29">
                  <c:v>-32.470428439608582</c:v>
                </c:pt>
                <c:pt idx="30">
                  <c:v>-32.470428439608582</c:v>
                </c:pt>
                <c:pt idx="31">
                  <c:v>-32.470428439608582</c:v>
                </c:pt>
                <c:pt idx="32">
                  <c:v>-32.470428439608582</c:v>
                </c:pt>
                <c:pt idx="33">
                  <c:v>-32.470428439608582</c:v>
                </c:pt>
                <c:pt idx="34">
                  <c:v>-32.470428439608582</c:v>
                </c:pt>
                <c:pt idx="35">
                  <c:v>-32.470428439608582</c:v>
                </c:pt>
                <c:pt idx="36">
                  <c:v>-32.470428439608582</c:v>
                </c:pt>
                <c:pt idx="37">
                  <c:v>-32.470428439608582</c:v>
                </c:pt>
                <c:pt idx="38">
                  <c:v>-32.470428439608582</c:v>
                </c:pt>
                <c:pt idx="39">
                  <c:v>-32.470428439608582</c:v>
                </c:pt>
                <c:pt idx="40">
                  <c:v>-32.470428439608582</c:v>
                </c:pt>
                <c:pt idx="41">
                  <c:v>-32.470428439608582</c:v>
                </c:pt>
                <c:pt idx="42">
                  <c:v>-32.470428439608582</c:v>
                </c:pt>
                <c:pt idx="43">
                  <c:v>-32.470428439608582</c:v>
                </c:pt>
                <c:pt idx="44">
                  <c:v>-32.470428439608582</c:v>
                </c:pt>
                <c:pt idx="45">
                  <c:v>-32.470428439608582</c:v>
                </c:pt>
                <c:pt idx="46">
                  <c:v>-32.470428439608582</c:v>
                </c:pt>
                <c:pt idx="47">
                  <c:v>-32.470428439608582</c:v>
                </c:pt>
                <c:pt idx="48">
                  <c:v>-32.470428439608582</c:v>
                </c:pt>
                <c:pt idx="49">
                  <c:v>-32.470428439608582</c:v>
                </c:pt>
                <c:pt idx="50">
                  <c:v>-32.470428439608582</c:v>
                </c:pt>
                <c:pt idx="51">
                  <c:v>-32.470428439608582</c:v>
                </c:pt>
                <c:pt idx="52">
                  <c:v>-32.470428439608582</c:v>
                </c:pt>
                <c:pt idx="53">
                  <c:v>-32.470428439608582</c:v>
                </c:pt>
                <c:pt idx="54">
                  <c:v>-32.470428439608582</c:v>
                </c:pt>
                <c:pt idx="55">
                  <c:v>-32.470428439608582</c:v>
                </c:pt>
                <c:pt idx="56">
                  <c:v>-32.470428439608582</c:v>
                </c:pt>
                <c:pt idx="57">
                  <c:v>-32.470428439608582</c:v>
                </c:pt>
                <c:pt idx="58">
                  <c:v>-32.470428439608582</c:v>
                </c:pt>
                <c:pt idx="59">
                  <c:v>-32.470428439608582</c:v>
                </c:pt>
                <c:pt idx="60">
                  <c:v>-32.470428439608582</c:v>
                </c:pt>
                <c:pt idx="61">
                  <c:v>-32.470428439608582</c:v>
                </c:pt>
                <c:pt idx="62">
                  <c:v>-32.470428439608582</c:v>
                </c:pt>
                <c:pt idx="63">
                  <c:v>-32.470428439608582</c:v>
                </c:pt>
                <c:pt idx="64">
                  <c:v>-32.470428439608582</c:v>
                </c:pt>
                <c:pt idx="65">
                  <c:v>-32.470428439608582</c:v>
                </c:pt>
                <c:pt idx="66">
                  <c:v>-32.470428439608582</c:v>
                </c:pt>
                <c:pt idx="67">
                  <c:v>-32.470428439608582</c:v>
                </c:pt>
                <c:pt idx="68">
                  <c:v>-32.470428439608582</c:v>
                </c:pt>
                <c:pt idx="69">
                  <c:v>-32.470428439608582</c:v>
                </c:pt>
                <c:pt idx="70">
                  <c:v>-32.470428439608582</c:v>
                </c:pt>
                <c:pt idx="71">
                  <c:v>-32.470428439608582</c:v>
                </c:pt>
                <c:pt idx="72">
                  <c:v>-32.470428439608582</c:v>
                </c:pt>
                <c:pt idx="73">
                  <c:v>-32.470428439608582</c:v>
                </c:pt>
                <c:pt idx="74">
                  <c:v>-32.470428439608582</c:v>
                </c:pt>
                <c:pt idx="75">
                  <c:v>-32.470428439608582</c:v>
                </c:pt>
                <c:pt idx="76">
                  <c:v>-32.470428439608582</c:v>
                </c:pt>
                <c:pt idx="77">
                  <c:v>-32.336042889718456</c:v>
                </c:pt>
                <c:pt idx="78">
                  <c:v>-32.203774214890757</c:v>
                </c:pt>
                <c:pt idx="79">
                  <c:v>-32.073574164746383</c:v>
                </c:pt>
                <c:pt idx="80">
                  <c:v>-31.819193947500128</c:v>
                </c:pt>
                <c:pt idx="81">
                  <c:v>-31.69492414342</c:v>
                </c:pt>
                <c:pt idx="82">
                  <c:v>-31.452010641129672</c:v>
                </c:pt>
                <c:pt idx="83">
                  <c:v>-31.216326712022973</c:v>
                </c:pt>
                <c:pt idx="84">
                  <c:v>-31.10109816138543</c:v>
                </c:pt>
                <c:pt idx="85">
                  <c:v>-30.98756197105681</c:v>
                </c:pt>
                <c:pt idx="86">
                  <c:v>-30.875682001638793</c:v>
                </c:pt>
                <c:pt idx="87">
                  <c:v>-30.656751115760422</c:v>
                </c:pt>
                <c:pt idx="88">
                  <c:v>-30.958636073720864</c:v>
                </c:pt>
                <c:pt idx="89">
                  <c:v>-30.850338298984223</c:v>
                </c:pt>
                <c:pt idx="90">
                  <c:v>-30.743562836470733</c:v>
                </c:pt>
                <c:pt idx="91">
                  <c:v>-30.43206293613591</c:v>
                </c:pt>
                <c:pt idx="92">
                  <c:v>-30.331073350285063</c:v>
                </c:pt>
                <c:pt idx="93">
                  <c:v>-30.231458315642602</c:v>
                </c:pt>
                <c:pt idx="94">
                  <c:v>-30.133190548862917</c:v>
                </c:pt>
                <c:pt idx="95">
                  <c:v>-29.940591170289999</c:v>
                </c:pt>
                <c:pt idx="96">
                  <c:v>-29.84620841182652</c:v>
                </c:pt>
                <c:pt idx="97">
                  <c:v>-29.753070586523044</c:v>
                </c:pt>
                <c:pt idx="98">
                  <c:v>-29.661153706905502</c:v>
                </c:pt>
                <c:pt idx="99">
                  <c:v>-29.851419013804982</c:v>
                </c:pt>
                <c:pt idx="100">
                  <c:v>-29.661153706905502</c:v>
                </c:pt>
                <c:pt idx="101">
                  <c:v>-29.753070586523044</c:v>
                </c:pt>
                <c:pt idx="102">
                  <c:v>-29.84620841182652</c:v>
                </c:pt>
                <c:pt idx="103">
                  <c:v>-29.940591170289999</c:v>
                </c:pt>
                <c:pt idx="104">
                  <c:v>-30.133190548862917</c:v>
                </c:pt>
                <c:pt idx="105">
                  <c:v>-30.231458315642602</c:v>
                </c:pt>
                <c:pt idx="106">
                  <c:v>-30.331073350285063</c:v>
                </c:pt>
                <c:pt idx="107">
                  <c:v>-30.43206293613591</c:v>
                </c:pt>
                <c:pt idx="108">
                  <c:v>-30.638278538373687</c:v>
                </c:pt>
                <c:pt idx="109">
                  <c:v>-30.743562836470733</c:v>
                </c:pt>
                <c:pt idx="110">
                  <c:v>-30.958636073720864</c:v>
                </c:pt>
                <c:pt idx="111">
                  <c:v>-30.656751115760422</c:v>
                </c:pt>
                <c:pt idx="112">
                  <c:v>-30.875682001638793</c:v>
                </c:pt>
                <c:pt idx="113">
                  <c:v>-30.98756197105681</c:v>
                </c:pt>
                <c:pt idx="114">
                  <c:v>-31.10109816138543</c:v>
                </c:pt>
                <c:pt idx="115">
                  <c:v>-31.216326712022973</c:v>
                </c:pt>
                <c:pt idx="116">
                  <c:v>-31.452010641129672</c:v>
                </c:pt>
                <c:pt idx="117">
                  <c:v>-31.572543596810252</c:v>
                </c:pt>
                <c:pt idx="118">
                  <c:v>-31.69492414342</c:v>
                </c:pt>
                <c:pt idx="119">
                  <c:v>-31.819193947500128</c:v>
                </c:pt>
                <c:pt idx="120">
                  <c:v>-32.203774214890757</c:v>
                </c:pt>
                <c:pt idx="121">
                  <c:v>-32.336042889718456</c:v>
                </c:pt>
                <c:pt idx="122">
                  <c:v>-32.011177478808449</c:v>
                </c:pt>
                <c:pt idx="123">
                  <c:v>-32.27967320213051</c:v>
                </c:pt>
                <c:pt idx="124">
                  <c:v>-32.557071375636646</c:v>
                </c:pt>
                <c:pt idx="125">
                  <c:v>-32.843808551727413</c:v>
                </c:pt>
                <c:pt idx="126">
                  <c:v>-33.14034930475772</c:v>
                </c:pt>
                <c:pt idx="127">
                  <c:v>-33.447188423282199</c:v>
                </c:pt>
                <c:pt idx="128">
                  <c:v>-33.764853300697474</c:v>
                </c:pt>
                <c:pt idx="129">
                  <c:v>-33.927919762007228</c:v>
                </c:pt>
                <c:pt idx="130">
                  <c:v>-34.262889942194121</c:v>
                </c:pt>
                <c:pt idx="131">
                  <c:v>-34.610164727827332</c:v>
                </c:pt>
                <c:pt idx="132">
                  <c:v>-34.79988515865265</c:v>
                </c:pt>
                <c:pt idx="133">
                  <c:v>-35.17900802581071</c:v>
                </c:pt>
                <c:pt idx="134">
                  <c:v>-35.573125830410191</c:v>
                </c:pt>
                <c:pt idx="135">
                  <c:v>-35.776076602639193</c:v>
                </c:pt>
                <c:pt idx="136">
                  <c:v>-36.194334245183967</c:v>
                </c:pt>
                <c:pt idx="137">
                  <c:v>-36.629879946126174</c:v>
                </c:pt>
                <c:pt idx="138">
                  <c:v>-37.083754582380642</c:v>
                </c:pt>
                <c:pt idx="139">
                  <c:v>-37.557079285037709</c:v>
                </c:pt>
                <c:pt idx="140">
                  <c:v>-38.051062719076725</c:v>
                </c:pt>
                <c:pt idx="141">
                  <c:v>-39.106326858271565</c:v>
                </c:pt>
                <c:pt idx="142">
                  <c:v>-39.385221057213748</c:v>
                </c:pt>
                <c:pt idx="143">
                  <c:v>-39.962488974578179</c:v>
                </c:pt>
                <c:pt idx="144">
                  <c:v>-39.886499921634744</c:v>
                </c:pt>
                <c:pt idx="145">
                  <c:v>-40.507405230129699</c:v>
                </c:pt>
                <c:pt idx="146">
                  <c:v>-40.507405230129699</c:v>
                </c:pt>
                <c:pt idx="147">
                  <c:v>-39.886499921634744</c:v>
                </c:pt>
                <c:pt idx="148">
                  <c:v>-39.962488974578179</c:v>
                </c:pt>
                <c:pt idx="149">
                  <c:v>-39.385221057213748</c:v>
                </c:pt>
                <c:pt idx="150">
                  <c:v>-39.106326858271565</c:v>
                </c:pt>
                <c:pt idx="151">
                  <c:v>-38.051062719076725</c:v>
                </c:pt>
                <c:pt idx="152">
                  <c:v>-37.557079285037709</c:v>
                </c:pt>
                <c:pt idx="153">
                  <c:v>-37.083754582380642</c:v>
                </c:pt>
                <c:pt idx="154">
                  <c:v>-36.629879946126174</c:v>
                </c:pt>
                <c:pt idx="155">
                  <c:v>-36.194334245183967</c:v>
                </c:pt>
                <c:pt idx="156">
                  <c:v>-35.776076602639193</c:v>
                </c:pt>
                <c:pt idx="157">
                  <c:v>-35.573125830410191</c:v>
                </c:pt>
                <c:pt idx="158">
                  <c:v>-35.17900802581071</c:v>
                </c:pt>
                <c:pt idx="159">
                  <c:v>-34.79988515865265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AA-4EB2-A559-9BF676C8F914}"/>
            </c:ext>
          </c:extLst>
        </c:ser>
        <c:ser>
          <c:idx val="1"/>
          <c:order val="1"/>
          <c:tx>
            <c:strRef>
              <c:f>'Inverse kinematic'!$I$18</c:f>
              <c:strCache>
                <c:ptCount val="1"/>
                <c:pt idx="0">
                  <c:v>femur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kinematic'!$I$19:$I$178</c:f>
              <c:numCache>
                <c:formatCode>0.00</c:formatCode>
                <c:ptCount val="160"/>
                <c:pt idx="0">
                  <c:v>-65.114085659918601</c:v>
                </c:pt>
                <c:pt idx="1">
                  <c:v>-82.471555491819032</c:v>
                </c:pt>
                <c:pt idx="2">
                  <c:v>-83.54965178605643</c:v>
                </c:pt>
                <c:pt idx="3">
                  <c:v>-84.079251044123168</c:v>
                </c:pt>
                <c:pt idx="4">
                  <c:v>-85.119094932072912</c:v>
                </c:pt>
                <c:pt idx="5">
                  <c:v>-85.629166676915403</c:v>
                </c:pt>
                <c:pt idx="6">
                  <c:v>-86.629203108444244</c:v>
                </c:pt>
                <c:pt idx="7">
                  <c:v>-87.119015622124792</c:v>
                </c:pt>
                <c:pt idx="8">
                  <c:v>-88.077875664406307</c:v>
                </c:pt>
                <c:pt idx="9">
                  <c:v>-88.54679266801503</c:v>
                </c:pt>
                <c:pt idx="10">
                  <c:v>-89.463301924986283</c:v>
                </c:pt>
                <c:pt idx="11">
                  <c:v>-89.910785795233721</c:v>
                </c:pt>
                <c:pt idx="12">
                  <c:v>-90.783968859043156</c:v>
                </c:pt>
                <c:pt idx="13">
                  <c:v>-91.209581873036626</c:v>
                </c:pt>
                <c:pt idx="14">
                  <c:v>-92.038662895674975</c:v>
                </c:pt>
                <c:pt idx="15">
                  <c:v>-92.442066582546275</c:v>
                </c:pt>
                <c:pt idx="16">
                  <c:v>-93.226466188993555</c:v>
                </c:pt>
                <c:pt idx="17">
                  <c:v>-93.607418928619779</c:v>
                </c:pt>
                <c:pt idx="18">
                  <c:v>-94.34674780434419</c:v>
                </c:pt>
                <c:pt idx="19">
                  <c:v>-94.70510086280494</c:v>
                </c:pt>
                <c:pt idx="20">
                  <c:v>-95.399150433585078</c:v>
                </c:pt>
                <c:pt idx="21">
                  <c:v>-95.7348426604878</c:v>
                </c:pt>
                <c:pt idx="22">
                  <c:v>-96.383573339074019</c:v>
                </c:pt>
                <c:pt idx="23">
                  <c:v>-96.696624772953797</c:v>
                </c:pt>
                <c:pt idx="24">
                  <c:v>-97.300152275181176</c:v>
                </c:pt>
                <c:pt idx="25">
                  <c:v>-97.590656910448089</c:v>
                </c:pt>
                <c:pt idx="26">
                  <c:v>-98.14923714522304</c:v>
                </c:pt>
                <c:pt idx="27">
                  <c:v>-98.417355109083815</c:v>
                </c:pt>
                <c:pt idx="28">
                  <c:v>-98.931368125848124</c:v>
                </c:pt>
                <c:pt idx="29">
                  <c:v>-99.177317498373299</c:v>
                </c:pt>
                <c:pt idx="30">
                  <c:v>-99.647250936800916</c:v>
                </c:pt>
                <c:pt idx="31">
                  <c:v>-99.647250936800916</c:v>
                </c:pt>
                <c:pt idx="32">
                  <c:v>-99.647250936800916</c:v>
                </c:pt>
                <c:pt idx="33">
                  <c:v>-99.647250936800916</c:v>
                </c:pt>
                <c:pt idx="34">
                  <c:v>-99.647250936800916</c:v>
                </c:pt>
                <c:pt idx="35">
                  <c:v>-99.647250936800916</c:v>
                </c:pt>
                <c:pt idx="36">
                  <c:v>-99.647250936800916</c:v>
                </c:pt>
                <c:pt idx="37">
                  <c:v>-99.647250936800916</c:v>
                </c:pt>
                <c:pt idx="38">
                  <c:v>-99.647250936800916</c:v>
                </c:pt>
                <c:pt idx="39">
                  <c:v>-99.647250936800916</c:v>
                </c:pt>
                <c:pt idx="40">
                  <c:v>-99.647250936800916</c:v>
                </c:pt>
                <c:pt idx="41">
                  <c:v>-99.647250936800916</c:v>
                </c:pt>
                <c:pt idx="42">
                  <c:v>-99.647250936800916</c:v>
                </c:pt>
                <c:pt idx="43">
                  <c:v>-99.647250936800916</c:v>
                </c:pt>
                <c:pt idx="44">
                  <c:v>-99.647250936800916</c:v>
                </c:pt>
                <c:pt idx="45">
                  <c:v>-99.647250936800916</c:v>
                </c:pt>
                <c:pt idx="46">
                  <c:v>-99.647250936800916</c:v>
                </c:pt>
                <c:pt idx="47">
                  <c:v>-99.177317498373299</c:v>
                </c:pt>
                <c:pt idx="48">
                  <c:v>-98.931368125848124</c:v>
                </c:pt>
                <c:pt idx="49">
                  <c:v>-98.417355109083815</c:v>
                </c:pt>
                <c:pt idx="50">
                  <c:v>-98.14923714522304</c:v>
                </c:pt>
                <c:pt idx="51">
                  <c:v>-97.590656910448089</c:v>
                </c:pt>
                <c:pt idx="52">
                  <c:v>-98.14923714522304</c:v>
                </c:pt>
                <c:pt idx="53">
                  <c:v>-98.417355109083815</c:v>
                </c:pt>
                <c:pt idx="54">
                  <c:v>-98.931368125848124</c:v>
                </c:pt>
                <c:pt idx="55">
                  <c:v>-99.177317498373299</c:v>
                </c:pt>
                <c:pt idx="56">
                  <c:v>-99.647250936800916</c:v>
                </c:pt>
                <c:pt idx="57">
                  <c:v>-99.647250936800916</c:v>
                </c:pt>
                <c:pt idx="58">
                  <c:v>-99.647250936800916</c:v>
                </c:pt>
                <c:pt idx="59">
                  <c:v>-99.647250936800916</c:v>
                </c:pt>
                <c:pt idx="60">
                  <c:v>-99.647250936800916</c:v>
                </c:pt>
                <c:pt idx="61">
                  <c:v>-99.647250936800916</c:v>
                </c:pt>
                <c:pt idx="62">
                  <c:v>-99.647250936800916</c:v>
                </c:pt>
                <c:pt idx="63">
                  <c:v>-99.647250936800916</c:v>
                </c:pt>
                <c:pt idx="64">
                  <c:v>-99.647250936800916</c:v>
                </c:pt>
                <c:pt idx="65">
                  <c:v>-99.647250936800916</c:v>
                </c:pt>
                <c:pt idx="66">
                  <c:v>-99.647250936800916</c:v>
                </c:pt>
                <c:pt idx="67">
                  <c:v>-99.647250936800916</c:v>
                </c:pt>
                <c:pt idx="68">
                  <c:v>-99.647250936800916</c:v>
                </c:pt>
                <c:pt idx="69">
                  <c:v>-99.647250936800916</c:v>
                </c:pt>
                <c:pt idx="70">
                  <c:v>-99.647250936800916</c:v>
                </c:pt>
                <c:pt idx="71">
                  <c:v>-99.647250936800916</c:v>
                </c:pt>
                <c:pt idx="72">
                  <c:v>-99.647250936800916</c:v>
                </c:pt>
                <c:pt idx="73">
                  <c:v>-99.647250936800916</c:v>
                </c:pt>
                <c:pt idx="74">
                  <c:v>-99.647250936800916</c:v>
                </c:pt>
                <c:pt idx="75">
                  <c:v>-99.647250936800916</c:v>
                </c:pt>
                <c:pt idx="76">
                  <c:v>-99.647250936800916</c:v>
                </c:pt>
                <c:pt idx="77">
                  <c:v>-98.701260727891437</c:v>
                </c:pt>
                <c:pt idx="78">
                  <c:v>-97.99030507920989</c:v>
                </c:pt>
                <c:pt idx="79">
                  <c:v>-97.282944050085689</c:v>
                </c:pt>
                <c:pt idx="80">
                  <c:v>-95.642055191819537</c:v>
                </c:pt>
                <c:pt idx="81">
                  <c:v>-94.702606618460649</c:v>
                </c:pt>
                <c:pt idx="82">
                  <c:v>-92.817261405248871</c:v>
                </c:pt>
                <c:pt idx="83">
                  <c:v>-91.190712029739018</c:v>
                </c:pt>
                <c:pt idx="84">
                  <c:v>-89.976244702386396</c:v>
                </c:pt>
                <c:pt idx="85">
                  <c:v>-89.026538490203919</c:v>
                </c:pt>
                <c:pt idx="86">
                  <c:v>-87.787787936447231</c:v>
                </c:pt>
                <c:pt idx="87">
                  <c:v>-85.874291310997549</c:v>
                </c:pt>
                <c:pt idx="88">
                  <c:v>-84.437635650048762</c:v>
                </c:pt>
                <c:pt idx="89">
                  <c:v>-83.160228305763425</c:v>
                </c:pt>
                <c:pt idx="90">
                  <c:v>-81.868884768237166</c:v>
                </c:pt>
                <c:pt idx="91">
                  <c:v>-78.274692387214799</c:v>
                </c:pt>
                <c:pt idx="92">
                  <c:v>-76.944287085776764</c:v>
                </c:pt>
                <c:pt idx="93">
                  <c:v>-75.231829188396034</c:v>
                </c:pt>
                <c:pt idx="94">
                  <c:v>-73.489065952580901</c:v>
                </c:pt>
                <c:pt idx="95">
                  <c:v>-71.526757505812228</c:v>
                </c:pt>
                <c:pt idx="96">
                  <c:v>-69.750861551592152</c:v>
                </c:pt>
                <c:pt idx="97">
                  <c:v>-67.950355485756248</c:v>
                </c:pt>
                <c:pt idx="98">
                  <c:v>-66.127134966444629</c:v>
                </c:pt>
                <c:pt idx="99">
                  <c:v>-64.027138846002728</c:v>
                </c:pt>
                <c:pt idx="100">
                  <c:v>-65.26896496210523</c:v>
                </c:pt>
                <c:pt idx="101">
                  <c:v>-65.822497162364257</c:v>
                </c:pt>
                <c:pt idx="102">
                  <c:v>-66.376097692175946</c:v>
                </c:pt>
                <c:pt idx="103">
                  <c:v>-66.929869494439203</c:v>
                </c:pt>
                <c:pt idx="104">
                  <c:v>-68.038339056973996</c:v>
                </c:pt>
                <c:pt idx="105">
                  <c:v>-68.593243486681132</c:v>
                </c:pt>
                <c:pt idx="106">
                  <c:v>-69.148732802418635</c:v>
                </c:pt>
                <c:pt idx="107">
                  <c:v>-69.704911555777159</c:v>
                </c:pt>
                <c:pt idx="108">
                  <c:v>-70.819759390543751</c:v>
                </c:pt>
                <c:pt idx="109">
                  <c:v>-71.378641800874504</c:v>
                </c:pt>
                <c:pt idx="110">
                  <c:v>-72.499865375655091</c:v>
                </c:pt>
                <c:pt idx="111">
                  <c:v>-73.212114236673756</c:v>
                </c:pt>
                <c:pt idx="112">
                  <c:v>-74.344898691398768</c:v>
                </c:pt>
                <c:pt idx="113">
                  <c:v>-74.913839130433928</c:v>
                </c:pt>
                <c:pt idx="114">
                  <c:v>-75.484638138723469</c:v>
                </c:pt>
                <c:pt idx="115">
                  <c:v>-76.05741842868737</c:v>
                </c:pt>
                <c:pt idx="116">
                  <c:v>-77.209426528632861</c:v>
                </c:pt>
                <c:pt idx="117">
                  <c:v>-77.788913156923215</c:v>
                </c:pt>
                <c:pt idx="118">
                  <c:v>-78.37089910074539</c:v>
                </c:pt>
                <c:pt idx="119">
                  <c:v>-78.955521659192044</c:v>
                </c:pt>
                <c:pt idx="120">
                  <c:v>-80.726636602058917</c:v>
                </c:pt>
                <c:pt idx="121">
                  <c:v>-81.323253078883283</c:v>
                </c:pt>
                <c:pt idx="122">
                  <c:v>-82.098914666517771</c:v>
                </c:pt>
                <c:pt idx="123">
                  <c:v>-83.315046056092413</c:v>
                </c:pt>
                <c:pt idx="124">
                  <c:v>-84.547125746823525</c:v>
                </c:pt>
                <c:pt idx="125">
                  <c:v>-85.796646691439065</c:v>
                </c:pt>
                <c:pt idx="126">
                  <c:v>-87.065211575815141</c:v>
                </c:pt>
                <c:pt idx="127">
                  <c:v>-88.354547091162857</c:v>
                </c:pt>
                <c:pt idx="128">
                  <c:v>-89.666520245047209</c:v>
                </c:pt>
                <c:pt idx="129">
                  <c:v>-90.331622299905703</c:v>
                </c:pt>
                <c:pt idx="130">
                  <c:v>-91.681406333339822</c:v>
                </c:pt>
                <c:pt idx="131">
                  <c:v>-93.059239767601667</c:v>
                </c:pt>
                <c:pt idx="132">
                  <c:v>-96.162723320675539</c:v>
                </c:pt>
                <c:pt idx="133">
                  <c:v>-97.653239407743101</c:v>
                </c:pt>
                <c:pt idx="134">
                  <c:v>-99.184790249476151</c:v>
                </c:pt>
                <c:pt idx="135">
                  <c:v>-99.96717135590751</c:v>
                </c:pt>
                <c:pt idx="136">
                  <c:v>-101.56783570500781</c:v>
                </c:pt>
                <c:pt idx="137">
                  <c:v>-103.22035154384801</c:v>
                </c:pt>
                <c:pt idx="138">
                  <c:v>-104.93004849436761</c:v>
                </c:pt>
                <c:pt idx="139">
                  <c:v>-106.70299551654658</c:v>
                </c:pt>
                <c:pt idx="140">
                  <c:v>-108.54615137009583</c:v>
                </c:pt>
                <c:pt idx="141">
                  <c:v>-112.47658356173903</c:v>
                </c:pt>
                <c:pt idx="142">
                  <c:v>-113.51732642626895</c:v>
                </c:pt>
                <c:pt idx="143">
                  <c:v>-115.67910531249078</c:v>
                </c:pt>
                <c:pt idx="144">
                  <c:v>-118.49334703009801</c:v>
                </c:pt>
                <c:pt idx="145">
                  <c:v>-120.9618923963574</c:v>
                </c:pt>
                <c:pt idx="146">
                  <c:v>-120.9618923963574</c:v>
                </c:pt>
                <c:pt idx="147">
                  <c:v>-120.34176506062468</c:v>
                </c:pt>
                <c:pt idx="148">
                  <c:v>-119.9913870292115</c:v>
                </c:pt>
                <c:pt idx="149">
                  <c:v>-120.01221483801886</c:v>
                </c:pt>
                <c:pt idx="150">
                  <c:v>-120.9921971289273</c:v>
                </c:pt>
                <c:pt idx="151">
                  <c:v>-119.74674026171715</c:v>
                </c:pt>
                <c:pt idx="152">
                  <c:v>-119.30766089638678</c:v>
                </c:pt>
                <c:pt idx="153">
                  <c:v>-118.30770723907375</c:v>
                </c:pt>
                <c:pt idx="154">
                  <c:v>-117.75027079763996</c:v>
                </c:pt>
                <c:pt idx="155">
                  <c:v>-116.71701931942255</c:v>
                </c:pt>
                <c:pt idx="156">
                  <c:v>-115.68217080970953</c:v>
                </c:pt>
                <c:pt idx="157">
                  <c:v>-115.53283009378666</c:v>
                </c:pt>
                <c:pt idx="158">
                  <c:v>-114.47223666720797</c:v>
                </c:pt>
                <c:pt idx="159">
                  <c:v>-113.40996160392997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AA-4EB2-A559-9BF676C8F914}"/>
            </c:ext>
          </c:extLst>
        </c:ser>
        <c:ser>
          <c:idx val="2"/>
          <c:order val="2"/>
          <c:tx>
            <c:strRef>
              <c:f>'Inverse kinematic'!$J$18</c:f>
              <c:strCache>
                <c:ptCount val="1"/>
                <c:pt idx="0">
                  <c:v>tibia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'Inverse kinematic'!$J$19:$J$178</c:f>
              <c:numCache>
                <c:formatCode>0.00</c:formatCode>
                <c:ptCount val="160"/>
                <c:pt idx="0">
                  <c:v>-4.7258902977535797</c:v>
                </c:pt>
                <c:pt idx="1">
                  <c:v>-16.223833994661661</c:v>
                </c:pt>
                <c:pt idx="2">
                  <c:v>-16.196675143948433</c:v>
                </c:pt>
                <c:pt idx="3">
                  <c:v>-16.172918057551684</c:v>
                </c:pt>
                <c:pt idx="4">
                  <c:v>-16.105076109012259</c:v>
                </c:pt>
                <c:pt idx="5">
                  <c:v>-16.061006921045184</c:v>
                </c:pt>
                <c:pt idx="6">
                  <c:v>-15.952622749189764</c:v>
                </c:pt>
                <c:pt idx="7">
                  <c:v>-15.888332509357816</c:v>
                </c:pt>
                <c:pt idx="8">
                  <c:v>-15.739628509016825</c:v>
                </c:pt>
                <c:pt idx="9">
                  <c:v>-15.655248110726987</c:v>
                </c:pt>
                <c:pt idx="10">
                  <c:v>-15.466524141126186</c:v>
                </c:pt>
                <c:pt idx="11">
                  <c:v>-15.362221950102011</c:v>
                </c:pt>
                <c:pt idx="12">
                  <c:v>-15.133849946264142</c:v>
                </c:pt>
                <c:pt idx="13">
                  <c:v>-15.009828801660461</c:v>
                </c:pt>
                <c:pt idx="14">
                  <c:v>-14.742246217373392</c:v>
                </c:pt>
                <c:pt idx="15">
                  <c:v>-14.598739894965185</c:v>
                </c:pt>
                <c:pt idx="16">
                  <c:v>-14.292442168547666</c:v>
                </c:pt>
                <c:pt idx="17">
                  <c:v>-14.129711406472573</c:v>
                </c:pt>
                <c:pt idx="18">
                  <c:v>-13.785243657028303</c:v>
                </c:pt>
                <c:pt idx="19">
                  <c:v>-13.603571850097943</c:v>
                </c:pt>
                <c:pt idx="20">
                  <c:v>-13.221520017698317</c:v>
                </c:pt>
                <c:pt idx="21">
                  <c:v>-13.021208686573139</c:v>
                </c:pt>
                <c:pt idx="22">
                  <c:v>-12.602190325436467</c:v>
                </c:pt>
                <c:pt idx="23">
                  <c:v>-12.383554462445233</c:v>
                </c:pt>
                <c:pt idx="24">
                  <c:v>-11.928209382911419</c:v>
                </c:pt>
                <c:pt idx="25">
                  <c:v>-11.691572767728097</c:v>
                </c:pt>
                <c:pt idx="26">
                  <c:v>-11.200553702328072</c:v>
                </c:pt>
                <c:pt idx="27">
                  <c:v>-10.946244268999877</c:v>
                </c:pt>
                <c:pt idx="28">
                  <c:v>-10.420207712090203</c:v>
                </c:pt>
                <c:pt idx="29">
                  <c:v>-10.148553035018665</c:v>
                </c:pt>
                <c:pt idx="30">
                  <c:v>-9.5881503762388718</c:v>
                </c:pt>
                <c:pt idx="31">
                  <c:v>-9.5881503762388718</c:v>
                </c:pt>
                <c:pt idx="32">
                  <c:v>-9.5881503762388718</c:v>
                </c:pt>
                <c:pt idx="33">
                  <c:v>-9.5881503762388718</c:v>
                </c:pt>
                <c:pt idx="34">
                  <c:v>-9.5881503762388718</c:v>
                </c:pt>
                <c:pt idx="35">
                  <c:v>-9.5881503762388718</c:v>
                </c:pt>
                <c:pt idx="36">
                  <c:v>-9.5881503762388718</c:v>
                </c:pt>
                <c:pt idx="37">
                  <c:v>-9.5881503762388718</c:v>
                </c:pt>
                <c:pt idx="38">
                  <c:v>-9.5881503762388718</c:v>
                </c:pt>
                <c:pt idx="39">
                  <c:v>-9.5881503762388718</c:v>
                </c:pt>
                <c:pt idx="40">
                  <c:v>-9.5881503762388718</c:v>
                </c:pt>
                <c:pt idx="41">
                  <c:v>-9.5881503762388718</c:v>
                </c:pt>
                <c:pt idx="42">
                  <c:v>-9.5881503762388718</c:v>
                </c:pt>
                <c:pt idx="43">
                  <c:v>-9.5881503762388718</c:v>
                </c:pt>
                <c:pt idx="44">
                  <c:v>-9.5881503762388718</c:v>
                </c:pt>
                <c:pt idx="45">
                  <c:v>-9.5881503762388718</c:v>
                </c:pt>
                <c:pt idx="46">
                  <c:v>-9.5881503762388718</c:v>
                </c:pt>
                <c:pt idx="47">
                  <c:v>-10.148553035018665</c:v>
                </c:pt>
                <c:pt idx="48">
                  <c:v>-10.420207712090203</c:v>
                </c:pt>
                <c:pt idx="49">
                  <c:v>-10.946244268999877</c:v>
                </c:pt>
                <c:pt idx="50">
                  <c:v>-11.200553702328072</c:v>
                </c:pt>
                <c:pt idx="51">
                  <c:v>-11.691572767728097</c:v>
                </c:pt>
                <c:pt idx="52">
                  <c:v>-11.200553702328072</c:v>
                </c:pt>
                <c:pt idx="53">
                  <c:v>-10.946244268999877</c:v>
                </c:pt>
                <c:pt idx="54">
                  <c:v>-10.420207712090203</c:v>
                </c:pt>
                <c:pt idx="55">
                  <c:v>-10.148553035018665</c:v>
                </c:pt>
                <c:pt idx="56">
                  <c:v>-9.5881503762388718</c:v>
                </c:pt>
                <c:pt idx="57">
                  <c:v>-9.5881503762388718</c:v>
                </c:pt>
                <c:pt idx="58">
                  <c:v>-9.5881503762388718</c:v>
                </c:pt>
                <c:pt idx="59">
                  <c:v>-9.5881503762388718</c:v>
                </c:pt>
                <c:pt idx="60">
                  <c:v>-9.5881503762388718</c:v>
                </c:pt>
                <c:pt idx="61">
                  <c:v>-9.5881503762388718</c:v>
                </c:pt>
                <c:pt idx="62">
                  <c:v>-9.5881503762388718</c:v>
                </c:pt>
                <c:pt idx="63">
                  <c:v>-9.5881503762388718</c:v>
                </c:pt>
                <c:pt idx="64">
                  <c:v>-9.5881503762388718</c:v>
                </c:pt>
                <c:pt idx="65">
                  <c:v>-9.5881503762388718</c:v>
                </c:pt>
                <c:pt idx="66">
                  <c:v>-9.5881503762388718</c:v>
                </c:pt>
                <c:pt idx="67">
                  <c:v>-9.5881503762388718</c:v>
                </c:pt>
                <c:pt idx="68">
                  <c:v>-9.5881503762388718</c:v>
                </c:pt>
                <c:pt idx="69">
                  <c:v>-9.5881503762388718</c:v>
                </c:pt>
                <c:pt idx="70">
                  <c:v>-9.5881503762388718</c:v>
                </c:pt>
                <c:pt idx="71">
                  <c:v>-9.5881503762388718</c:v>
                </c:pt>
                <c:pt idx="72">
                  <c:v>-9.5881503762388718</c:v>
                </c:pt>
                <c:pt idx="73">
                  <c:v>-9.5881503762388718</c:v>
                </c:pt>
                <c:pt idx="74">
                  <c:v>-9.5881503762388718</c:v>
                </c:pt>
                <c:pt idx="75">
                  <c:v>-9.5881503762388718</c:v>
                </c:pt>
                <c:pt idx="76">
                  <c:v>-9.5881503762388718</c:v>
                </c:pt>
                <c:pt idx="77">
                  <c:v>-9.235166673226459</c:v>
                </c:pt>
                <c:pt idx="78">
                  <c:v>-8.5963723028764036</c:v>
                </c:pt>
                <c:pt idx="79">
                  <c:v>-7.9547699868226687</c:v>
                </c:pt>
                <c:pt idx="80">
                  <c:v>-6.933066736072206</c:v>
                </c:pt>
                <c:pt idx="81">
                  <c:v>-6.5445754612088791</c:v>
                </c:pt>
                <c:pt idx="82">
                  <c:v>-5.7342090197561788</c:v>
                </c:pt>
                <c:pt idx="83">
                  <c:v>-4.6443622193999801</c:v>
                </c:pt>
                <c:pt idx="84">
                  <c:v>-4.4363689242048281</c:v>
                </c:pt>
                <c:pt idx="85">
                  <c:v>-3.9821100070419106</c:v>
                </c:pt>
                <c:pt idx="86">
                  <c:v>-3.7265485686000375</c:v>
                </c:pt>
                <c:pt idx="87">
                  <c:v>-2.7514114252938242</c:v>
                </c:pt>
                <c:pt idx="88">
                  <c:v>-2.248555375724635</c:v>
                </c:pt>
                <c:pt idx="89">
                  <c:v>-1.8997020864322991</c:v>
                </c:pt>
                <c:pt idx="90">
                  <c:v>-1.5216628107197323</c:v>
                </c:pt>
                <c:pt idx="91">
                  <c:v>-9.2350481573134857E-2</c:v>
                </c:pt>
                <c:pt idx="92">
                  <c:v>0.38844410419090991</c:v>
                </c:pt>
                <c:pt idx="93">
                  <c:v>0.79997919778429605</c:v>
                </c:pt>
                <c:pt idx="94">
                  <c:v>1.2696433105359688</c:v>
                </c:pt>
                <c:pt idx="95">
                  <c:v>2.5930882005106923</c:v>
                </c:pt>
                <c:pt idx="96">
                  <c:v>3.1640332828227855</c:v>
                </c:pt>
                <c:pt idx="97">
                  <c:v>3.7919017247507298</c:v>
                </c:pt>
                <c:pt idx="98">
                  <c:v>4.4763220579163203</c:v>
                </c:pt>
                <c:pt idx="99">
                  <c:v>6.1506194390690041</c:v>
                </c:pt>
                <c:pt idx="100">
                  <c:v>4.4646834301127427</c:v>
                </c:pt>
                <c:pt idx="101">
                  <c:v>3.7189522886695698</c:v>
                </c:pt>
                <c:pt idx="102">
                  <c:v>2.9767422235914438</c:v>
                </c:pt>
                <c:pt idx="103">
                  <c:v>2.2379607470498826</c:v>
                </c:pt>
                <c:pt idx="104">
                  <c:v>0.77032590296776959</c:v>
                </c:pt>
                <c:pt idx="105">
                  <c:v>4.12994601857406E-2</c:v>
                </c:pt>
                <c:pt idx="106">
                  <c:v>-0.68464479305224302</c:v>
                </c:pt>
                <c:pt idx="107">
                  <c:v>-1.4075881906827021</c:v>
                </c:pt>
                <c:pt idx="108">
                  <c:v>-2.8447884783237782</c:v>
                </c:pt>
                <c:pt idx="109">
                  <c:v>-3.5591990751104134</c:v>
                </c:pt>
                <c:pt idx="110">
                  <c:v>-4.98001352257387</c:v>
                </c:pt>
                <c:pt idx="111">
                  <c:v>-5.8738412952117898</c:v>
                </c:pt>
                <c:pt idx="112">
                  <c:v>-7.2812079485231322</c:v>
                </c:pt>
                <c:pt idx="113">
                  <c:v>-7.9813923951528807</c:v>
                </c:pt>
                <c:pt idx="114">
                  <c:v>-8.6793344880027661</c:v>
                </c:pt>
                <c:pt idx="115">
                  <c:v>-9.3751007346955788</c:v>
                </c:pt>
                <c:pt idx="116">
                  <c:v>-10.76036762342909</c:v>
                </c:pt>
                <c:pt idx="117">
                  <c:v>-11.449997425775763</c:v>
                </c:pt>
                <c:pt idx="118">
                  <c:v>-12.137709862708178</c:v>
                </c:pt>
                <c:pt idx="119">
                  <c:v>-12.823568067876487</c:v>
                </c:pt>
                <c:pt idx="120">
                  <c:v>-14.870642599377064</c:v>
                </c:pt>
                <c:pt idx="121">
                  <c:v>-15.549707744780335</c:v>
                </c:pt>
                <c:pt idx="122">
                  <c:v>-16.424563207801555</c:v>
                </c:pt>
                <c:pt idx="123">
                  <c:v>-17.777886516943262</c:v>
                </c:pt>
                <c:pt idx="124">
                  <c:v>-19.125950402996985</c:v>
                </c:pt>
                <c:pt idx="125">
                  <c:v>-20.469264971151517</c:v>
                </c:pt>
                <c:pt idx="126">
                  <c:v>-21.808349032436631</c:v>
                </c:pt>
                <c:pt idx="127">
                  <c:v>-23.143733819654045</c:v>
                </c:pt>
                <c:pt idx="128">
                  <c:v>-24.475967125997279</c:v>
                </c:pt>
                <c:pt idx="129">
                  <c:v>-25.141078823378614</c:v>
                </c:pt>
                <c:pt idx="130">
                  <c:v>-26.469659894154624</c:v>
                </c:pt>
                <c:pt idx="131">
                  <c:v>-27.796563719554825</c:v>
                </c:pt>
                <c:pt idx="132">
                  <c:v>-30.677563424917267</c:v>
                </c:pt>
                <c:pt idx="133">
                  <c:v>-32.008668434914604</c:v>
                </c:pt>
                <c:pt idx="134">
                  <c:v>-33.34137332646776</c:v>
                </c:pt>
                <c:pt idx="135">
                  <c:v>-34.008612280937491</c:v>
                </c:pt>
                <c:pt idx="136">
                  <c:v>-35.345489623504946</c:v>
                </c:pt>
                <c:pt idx="137">
                  <c:v>-36.686486142397364</c:v>
                </c:pt>
                <c:pt idx="138">
                  <c:v>-38.032827481657137</c:v>
                </c:pt>
                <c:pt idx="139">
                  <c:v>-39.385906867835708</c:v>
                </c:pt>
                <c:pt idx="140">
                  <c:v>-40.747324822194606</c:v>
                </c:pt>
                <c:pt idx="141">
                  <c:v>-43.502940253952737</c:v>
                </c:pt>
                <c:pt idx="142">
                  <c:v>-44.200378102760141</c:v>
                </c:pt>
                <c:pt idx="143">
                  <c:v>-45.607997842899408</c:v>
                </c:pt>
                <c:pt idx="144">
                  <c:v>-47.361004522836012</c:v>
                </c:pt>
                <c:pt idx="145">
                  <c:v>-48.828871774088995</c:v>
                </c:pt>
                <c:pt idx="146">
                  <c:v>-48.828871774088995</c:v>
                </c:pt>
                <c:pt idx="147">
                  <c:v>-47.334759910494853</c:v>
                </c:pt>
                <c:pt idx="148">
                  <c:v>-45.454054724922628</c:v>
                </c:pt>
                <c:pt idx="149">
                  <c:v>-43.825268148762376</c:v>
                </c:pt>
                <c:pt idx="150">
                  <c:v>-42.81227525229788</c:v>
                </c:pt>
                <c:pt idx="151">
                  <c:v>-39.409402890241914</c:v>
                </c:pt>
                <c:pt idx="152">
                  <c:v>-37.576388269779436</c:v>
                </c:pt>
                <c:pt idx="153">
                  <c:v>-35.903288827441123</c:v>
                </c:pt>
                <c:pt idx="154">
                  <c:v>-34.008033815802698</c:v>
                </c:pt>
                <c:pt idx="155">
                  <c:v>-32.305506449748414</c:v>
                </c:pt>
                <c:pt idx="156">
                  <c:v>-30.593156278213272</c:v>
                </c:pt>
                <c:pt idx="157">
                  <c:v>-29.489175282039845</c:v>
                </c:pt>
                <c:pt idx="158">
                  <c:v>-27.752474393117581</c:v>
                </c:pt>
                <c:pt idx="159">
                  <c:v>-26.004855316704607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AA-4EB2-A559-9BF676C8F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512511"/>
        <c:axId val="55509183"/>
      </c:lineChart>
      <c:catAx>
        <c:axId val="55512511"/>
        <c:scaling>
          <c:orientation val="minMax"/>
        </c:scaling>
        <c:delete val="1"/>
        <c:axPos val="b"/>
        <c:majorTickMark val="none"/>
        <c:minorTickMark val="none"/>
        <c:tickLblPos val="nextTo"/>
        <c:crossAx val="55509183"/>
        <c:crosses val="autoZero"/>
        <c:auto val="1"/>
        <c:lblAlgn val="ctr"/>
        <c:lblOffset val="100"/>
        <c:noMultiLvlLbl val="0"/>
      </c:catAx>
      <c:valAx>
        <c:axId val="55509183"/>
        <c:scaling>
          <c:orientation val="minMax"/>
          <c:max val="180"/>
          <c:min val="-1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5512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0"/>
          <c:w val="0.99968923418424005"/>
          <c:h val="0.99966756897943698"/>
        </c:manualLayout>
      </c:layout>
      <c:scatterChart>
        <c:scatterStyle val="lineMarker"/>
        <c:varyColors val="0"/>
        <c:ser>
          <c:idx val="1"/>
          <c:order val="0"/>
          <c:marker>
            <c:symbol val="none"/>
          </c:marker>
          <c:xVal>
            <c:numRef>
              <c:f>'Advance trajectory'!$D$32:$D$52</c:f>
              <c:numCache>
                <c:formatCode>0.00</c:formatCode>
                <c:ptCount val="21"/>
                <c:pt idx="0">
                  <c:v>35.139501631141684</c:v>
                </c:pt>
                <c:pt idx="1">
                  <c:v>35.007610652727635</c:v>
                </c:pt>
                <c:pt idx="2">
                  <c:v>34.879706306635853</c:v>
                </c:pt>
                <c:pt idx="3">
                  <c:v>34.755788678351564</c:v>
                </c:pt>
                <c:pt idx="4">
                  <c:v>34.635857850693355</c:v>
                </c:pt>
                <c:pt idx="5">
                  <c:v>34.519913903814086</c:v>
                </c:pt>
                <c:pt idx="6">
                  <c:v>34.407956915204522</c:v>
                </c:pt>
                <c:pt idx="7">
                  <c:v>34.299986959690614</c:v>
                </c:pt>
                <c:pt idx="8">
                  <c:v>34.196004109432579</c:v>
                </c:pt>
                <c:pt idx="9">
                  <c:v>34.096008433924908</c:v>
                </c:pt>
                <c:pt idx="10">
                  <c:v>34</c:v>
                </c:pt>
                <c:pt idx="11">
                  <c:v>33.907978871822706</c:v>
                </c:pt>
                <c:pt idx="12">
                  <c:v>33.819945110896697</c:v>
                </c:pt>
                <c:pt idx="13">
                  <c:v>33.735898776055365</c:v>
                </c:pt>
                <c:pt idx="14">
                  <c:v>33.655839923471831</c:v>
                </c:pt>
                <c:pt idx="15">
                  <c:v>33.579768606653488</c:v>
                </c:pt>
                <c:pt idx="16">
                  <c:v>33.507684876439271</c:v>
                </c:pt>
                <c:pt idx="17">
                  <c:v>33.439588781007842</c:v>
                </c:pt>
                <c:pt idx="18">
                  <c:v>33.375480365868498</c:v>
                </c:pt>
                <c:pt idx="19">
                  <c:v>33.315359673868443</c:v>
                </c:pt>
                <c:pt idx="20">
                  <c:v>33.259226745188244</c:v>
                </c:pt>
              </c:numCache>
            </c:numRef>
          </c:xVal>
          <c:yVal>
            <c:numRef>
              <c:f>'Advance trajectory'!$E$32:$E$52</c:f>
              <c:numCache>
                <c:formatCode>0.00</c:formatCode>
                <c:ptCount val="21"/>
                <c:pt idx="0">
                  <c:v>163.76880992144734</c:v>
                </c:pt>
                <c:pt idx="1">
                  <c:v>158.89236769037575</c:v>
                </c:pt>
                <c:pt idx="2">
                  <c:v>154.01581926536832</c:v>
                </c:pt>
                <c:pt idx="3">
                  <c:v>149.13916790561683</c:v>
                </c:pt>
                <c:pt idx="4">
                  <c:v>144.26241687037131</c:v>
                </c:pt>
                <c:pt idx="5">
                  <c:v>139.38556941895891</c:v>
                </c:pt>
                <c:pt idx="6">
                  <c:v>134.50862881076068</c:v>
                </c:pt>
                <c:pt idx="7">
                  <c:v>129.63159830523051</c:v>
                </c:pt>
                <c:pt idx="8">
                  <c:v>124.75448116187178</c:v>
                </c:pt>
                <c:pt idx="9">
                  <c:v>119.8772806402564</c:v>
                </c:pt>
                <c:pt idx="10">
                  <c:v>115.00000000000135</c:v>
                </c:pt>
                <c:pt idx="11">
                  <c:v>110.12264250078516</c:v>
                </c:pt>
                <c:pt idx="12">
                  <c:v>105.24521140233767</c:v>
                </c:pt>
                <c:pt idx="13">
                  <c:v>100.36770996443001</c:v>
                </c:pt>
                <c:pt idx="14">
                  <c:v>95.490141446890902</c:v>
                </c:pt>
                <c:pt idx="15">
                  <c:v>90.612509109583314</c:v>
                </c:pt>
                <c:pt idx="16">
                  <c:v>85.734816212423425</c:v>
                </c:pt>
                <c:pt idx="17">
                  <c:v>80.857066015357333</c:v>
                </c:pt>
                <c:pt idx="18">
                  <c:v>75.979261778380007</c:v>
                </c:pt>
                <c:pt idx="19">
                  <c:v>71.101406761511953</c:v>
                </c:pt>
                <c:pt idx="20">
                  <c:v>66.223504224818214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A-40BF-8AB1-F01C790DBD30}"/>
            </c:ext>
          </c:extLst>
        </c:ser>
        <c:ser>
          <c:idx val="2"/>
          <c:order val="1"/>
          <c:marker>
            <c:symbol val="none"/>
          </c:marker>
          <c:xVal>
            <c:numRef>
              <c:f>'Advance trajectory'!$G$32:$G$52</c:f>
              <c:numCache>
                <c:formatCode>0.00</c:formatCode>
                <c:ptCount val="21"/>
                <c:pt idx="0">
                  <c:v>116.42552704381797</c:v>
                </c:pt>
                <c:pt idx="1">
                  <c:v>116.36527878270044</c:v>
                </c:pt>
                <c:pt idx="2">
                  <c:v>116.30896277941974</c:v>
                </c:pt>
                <c:pt idx="3">
                  <c:v>116.25657907161531</c:v>
                </c:pt>
                <c:pt idx="4">
                  <c:v>116.20812769429722</c:v>
                </c:pt>
                <c:pt idx="5">
                  <c:v>116.16360867984531</c:v>
                </c:pt>
                <c:pt idx="6">
                  <c:v>116.12302205801552</c:v>
                </c:pt>
                <c:pt idx="7">
                  <c:v>116.08636785593353</c:v>
                </c:pt>
                <c:pt idx="8">
                  <c:v>116.05364609809476</c:v>
                </c:pt>
                <c:pt idx="9">
                  <c:v>116.02485680636983</c:v>
                </c:pt>
                <c:pt idx="10">
                  <c:v>116</c:v>
                </c:pt>
                <c:pt idx="11">
                  <c:v>115.9790756955972</c:v>
                </c:pt>
                <c:pt idx="12">
                  <c:v>115.96208390714673</c:v>
                </c:pt>
                <c:pt idx="13">
                  <c:v>115.94902464600455</c:v>
                </c:pt>
                <c:pt idx="14">
                  <c:v>115.93989792089815</c:v>
                </c:pt>
                <c:pt idx="15">
                  <c:v>115.93470373792843</c:v>
                </c:pt>
                <c:pt idx="16">
                  <c:v>115.93344210056603</c:v>
                </c:pt>
                <c:pt idx="17">
                  <c:v>115.93611300965404</c:v>
                </c:pt>
                <c:pt idx="18">
                  <c:v>115.94271646340712</c:v>
                </c:pt>
                <c:pt idx="19">
                  <c:v>115.95325245741333</c:v>
                </c:pt>
                <c:pt idx="20">
                  <c:v>115.96772098462952</c:v>
                </c:pt>
              </c:numCache>
            </c:numRef>
          </c:xVal>
          <c:yVal>
            <c:numRef>
              <c:f>'Advance trajectory'!$H$32:$H$52</c:f>
              <c:numCache>
                <c:formatCode>0.00</c:formatCode>
                <c:ptCount val="21"/>
                <c:pt idx="0">
                  <c:v>76.10135830678152</c:v>
                </c:pt>
                <c:pt idx="1">
                  <c:v>71.291398309590704</c:v>
                </c:pt>
                <c:pt idx="2">
                  <c:v>66.481390665590197</c:v>
                </c:pt>
                <c:pt idx="3">
                  <c:v>61.671338589499925</c:v>
                </c:pt>
                <c:pt idx="4">
                  <c:v>56.861245296059082</c:v>
                </c:pt>
                <c:pt idx="5">
                  <c:v>52.051114000044805</c:v>
                </c:pt>
                <c:pt idx="6">
                  <c:v>47.240947916249233</c:v>
                </c:pt>
                <c:pt idx="7">
                  <c:v>42.43075025949819</c:v>
                </c:pt>
                <c:pt idx="8">
                  <c:v>37.620524244628129</c:v>
                </c:pt>
                <c:pt idx="9">
                  <c:v>32.810273086504921</c:v>
                </c:pt>
                <c:pt idx="10">
                  <c:v>28.000000000000806</c:v>
                </c:pt>
                <c:pt idx="11">
                  <c:v>23.189708200010497</c:v>
                </c:pt>
                <c:pt idx="12">
                  <c:v>18.379400901441215</c:v>
                </c:pt>
                <c:pt idx="13">
                  <c:v>13.569081319202716</c:v>
                </c:pt>
                <c:pt idx="14">
                  <c:v>8.7587526682234031</c:v>
                </c:pt>
                <c:pt idx="15">
                  <c:v>3.9484181634272919</c:v>
                </c:pt>
                <c:pt idx="16">
                  <c:v>-0.86191898024723312</c:v>
                </c:pt>
                <c:pt idx="17">
                  <c:v>-5.6722555478704804</c:v>
                </c:pt>
                <c:pt idx="18">
                  <c:v>-10.482588324502691</c:v>
                </c:pt>
                <c:pt idx="19">
                  <c:v>-15.292914095217087</c:v>
                </c:pt>
                <c:pt idx="20">
                  <c:v>-20.103229645081129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A-40BF-8AB1-F01C790DBD30}"/>
            </c:ext>
          </c:extLst>
        </c:ser>
        <c:ser>
          <c:idx val="3"/>
          <c:order val="2"/>
          <c:marker>
            <c:symbol val="none"/>
          </c:marker>
          <c:xVal>
            <c:numRef>
              <c:f>'Advance trajectory'!$J$32:$J$52</c:f>
              <c:numCache>
                <c:formatCode>0.00</c:formatCode>
                <c:ptCount val="21"/>
                <c:pt idx="0">
                  <c:v>81.494700878724871</c:v>
                </c:pt>
                <c:pt idx="1">
                  <c:v>81.52743120463947</c:v>
                </c:pt>
                <c:pt idx="2">
                  <c:v>81.564117071877263</c:v>
                </c:pt>
                <c:pt idx="3">
                  <c:v>81.604758455919182</c:v>
                </c:pt>
                <c:pt idx="4">
                  <c:v>81.649355329602258</c:v>
                </c:pt>
                <c:pt idx="5">
                  <c:v>81.697907663121441</c:v>
                </c:pt>
                <c:pt idx="6">
                  <c:v>81.750415424026869</c:v>
                </c:pt>
                <c:pt idx="7">
                  <c:v>81.806878577225689</c:v>
                </c:pt>
                <c:pt idx="8">
                  <c:v>81.867297084981146</c:v>
                </c:pt>
                <c:pt idx="9">
                  <c:v>81.931670906913496</c:v>
                </c:pt>
                <c:pt idx="10">
                  <c:v>82</c:v>
                </c:pt>
                <c:pt idx="11">
                  <c:v>82.072284318572201</c:v>
                </c:pt>
                <c:pt idx="12">
                  <c:v>82.14852381432047</c:v>
                </c:pt>
                <c:pt idx="13">
                  <c:v>82.228718436292183</c:v>
                </c:pt>
                <c:pt idx="14">
                  <c:v>82.312868130887182</c:v>
                </c:pt>
                <c:pt idx="15">
                  <c:v>82.40097284186777</c:v>
                </c:pt>
                <c:pt idx="16">
                  <c:v>82.493032510348712</c:v>
                </c:pt>
                <c:pt idx="17">
                  <c:v>82.589047074802693</c:v>
                </c:pt>
                <c:pt idx="18">
                  <c:v>82.689016471061223</c:v>
                </c:pt>
                <c:pt idx="19">
                  <c:v>82.792940632308273</c:v>
                </c:pt>
                <c:pt idx="20">
                  <c:v>82.900819489089372</c:v>
                </c:pt>
              </c:numCache>
            </c:numRef>
          </c:xVal>
          <c:yVal>
            <c:numRef>
              <c:f>'Advance trajectory'!$K$32:$K$52</c:f>
              <c:numCache>
                <c:formatCode>0.00</c:formatCode>
                <c:ptCount val="21"/>
                <c:pt idx="0">
                  <c:v>-37.61687850431354</c:v>
                </c:pt>
                <c:pt idx="1">
                  <c:v>-42.455357143600537</c:v>
                </c:pt>
                <c:pt idx="2">
                  <c:v>-47.293807408328036</c:v>
                </c:pt>
                <c:pt idx="3">
                  <c:v>-52.132226064766748</c:v>
                </c:pt>
                <c:pt idx="4">
                  <c:v>-56.970609879219076</c:v>
                </c:pt>
                <c:pt idx="5">
                  <c:v>-61.808955618000155</c:v>
                </c:pt>
                <c:pt idx="6">
                  <c:v>-66.647260047461074</c:v>
                </c:pt>
                <c:pt idx="7">
                  <c:v>-71.485519933970068</c:v>
                </c:pt>
                <c:pt idx="8">
                  <c:v>-76.323732043935593</c:v>
                </c:pt>
                <c:pt idx="9">
                  <c:v>-81.161893143787566</c:v>
                </c:pt>
                <c:pt idx="10">
                  <c:v>-86.000000000000497</c:v>
                </c:pt>
                <c:pt idx="11">
                  <c:v>-90.838049379077276</c:v>
                </c:pt>
                <c:pt idx="12">
                  <c:v>-95.676038047559146</c:v>
                </c:pt>
                <c:pt idx="13">
                  <c:v>-100.51396277203591</c:v>
                </c:pt>
                <c:pt idx="14">
                  <c:v>-105.35182031912952</c:v>
                </c:pt>
                <c:pt idx="15">
                  <c:v>-110.18960745551736</c:v>
                </c:pt>
                <c:pt idx="16">
                  <c:v>-115.02732094791337</c:v>
                </c:pt>
                <c:pt idx="17">
                  <c:v>-119.86495756309117</c:v>
                </c:pt>
                <c:pt idx="18">
                  <c:v>-124.70251406786535</c:v>
                </c:pt>
                <c:pt idx="19">
                  <c:v>-129.53998722911447</c:v>
                </c:pt>
                <c:pt idx="20">
                  <c:v>-134.37737381376229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7CA-40BF-8AB1-F01C790DBD30}"/>
            </c:ext>
          </c:extLst>
        </c:ser>
        <c:ser>
          <c:idx val="4"/>
          <c:order val="3"/>
          <c:marker>
            <c:symbol val="none"/>
          </c:marker>
          <c:xVal>
            <c:numRef>
              <c:f>'Advance trajectory'!$M$32:$M$52</c:f>
              <c:numCache>
                <c:formatCode>0.00</c:formatCode>
                <c:ptCount val="21"/>
                <c:pt idx="0">
                  <c:v>-81.093700163028188</c:v>
                </c:pt>
                <c:pt idx="1">
                  <c:v>-81.20262028120942</c:v>
                </c:pt>
                <c:pt idx="2">
                  <c:v>-81.307476099262203</c:v>
                </c:pt>
                <c:pt idx="3">
                  <c:v>-81.408267547107243</c:v>
                </c:pt>
                <c:pt idx="4">
                  <c:v>-81.504994557381906</c:v>
                </c:pt>
                <c:pt idx="5">
                  <c:v>-81.597657065439307</c:v>
                </c:pt>
                <c:pt idx="6">
                  <c:v>-81.686255009349225</c:v>
                </c:pt>
                <c:pt idx="7">
                  <c:v>-81.770788329899005</c:v>
                </c:pt>
                <c:pt idx="8">
                  <c:v>-81.851256970590839</c:v>
                </c:pt>
                <c:pt idx="9">
                  <c:v>-81.927660877646304</c:v>
                </c:pt>
                <c:pt idx="10">
                  <c:v>-82</c:v>
                </c:pt>
                <c:pt idx="11">
                  <c:v>-82.068274289305009</c:v>
                </c:pt>
                <c:pt idx="12">
                  <c:v>-82.132483699931072</c:v>
                </c:pt>
                <c:pt idx="13">
                  <c:v>-82.1926281889655</c:v>
                </c:pt>
                <c:pt idx="14">
                  <c:v>-82.248707716210447</c:v>
                </c:pt>
                <c:pt idx="15">
                  <c:v>-82.300722244185636</c:v>
                </c:pt>
                <c:pt idx="16">
                  <c:v>-82.34867173812745</c:v>
                </c:pt>
                <c:pt idx="17">
                  <c:v>-82.392556165991664</c:v>
                </c:pt>
                <c:pt idx="18">
                  <c:v>-82.432375498446163</c:v>
                </c:pt>
                <c:pt idx="19">
                  <c:v>-82.468129708878223</c:v>
                </c:pt>
                <c:pt idx="20">
                  <c:v>-82.49981877339269</c:v>
                </c:pt>
              </c:numCache>
            </c:numRef>
          </c:xVal>
          <c:yVal>
            <c:numRef>
              <c:f>'Advance trajectory'!$N$32:$N$52</c:f>
              <c:numCache>
                <c:formatCode>0.00</c:formatCode>
                <c:ptCount val="21"/>
                <c:pt idx="0">
                  <c:v>135.71809155853015</c:v>
                </c:pt>
                <c:pt idx="1">
                  <c:v>130.74663575317183</c:v>
                </c:pt>
                <c:pt idx="2">
                  <c:v>125.77509256476216</c:v>
                </c:pt>
                <c:pt idx="3">
                  <c:v>120.80346531598167</c:v>
                </c:pt>
                <c:pt idx="4">
                  <c:v>115.8317573295563</c:v>
                </c:pt>
                <c:pt idx="5">
                  <c:v>110.85997192827679</c:v>
                </c:pt>
                <c:pt idx="6">
                  <c:v>105.88811243497481</c:v>
                </c:pt>
                <c:pt idx="7">
                  <c:v>100.91618217254231</c:v>
                </c:pt>
                <c:pt idx="8">
                  <c:v>95.944184463907732</c:v>
                </c:pt>
                <c:pt idx="9">
                  <c:v>90.972122632055459</c:v>
                </c:pt>
                <c:pt idx="10">
                  <c:v>86.000000000001876</c:v>
                </c:pt>
                <c:pt idx="11">
                  <c:v>81.02781989081214</c:v>
                </c:pt>
                <c:pt idx="12">
                  <c:v>76.055585627589764</c:v>
                </c:pt>
                <c:pt idx="13">
                  <c:v>71.083300533466428</c:v>
                </c:pt>
                <c:pt idx="14">
                  <c:v>66.110967931618532</c:v>
                </c:pt>
                <c:pt idx="15">
                  <c:v>61.13859114524346</c:v>
                </c:pt>
                <c:pt idx="16">
                  <c:v>56.166173497578889</c:v>
                </c:pt>
                <c:pt idx="17">
                  <c:v>51.193718311879032</c:v>
                </c:pt>
                <c:pt idx="18">
                  <c:v>46.22122891143399</c:v>
                </c:pt>
                <c:pt idx="19">
                  <c:v>41.248708619545916</c:v>
                </c:pt>
                <c:pt idx="20">
                  <c:v>36.276160759548432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7CA-40BF-8AB1-F01C790DBD30}"/>
            </c:ext>
          </c:extLst>
        </c:ser>
        <c:ser>
          <c:idx val="5"/>
          <c:order val="4"/>
          <c:marker>
            <c:symbol val="none"/>
          </c:marker>
          <c:xVal>
            <c:numRef>
              <c:f>'Advance trajectory'!$P$32:$P$52</c:f>
              <c:numCache>
                <c:formatCode>0.00</c:formatCode>
                <c:ptCount val="21"/>
                <c:pt idx="0">
                  <c:v>-116.02452632812219</c:v>
                </c:pt>
                <c:pt idx="1">
                  <c:v>-116.04046785927039</c:v>
                </c:pt>
                <c:pt idx="2">
                  <c:v>-116.05232180680559</c:v>
                </c:pt>
                <c:pt idx="3">
                  <c:v>-116.06008816280428</c:v>
                </c:pt>
                <c:pt idx="4">
                  <c:v>-116.06376692207687</c:v>
                </c:pt>
                <c:pt idx="5">
                  <c:v>-116.06335808216318</c:v>
                </c:pt>
                <c:pt idx="6">
                  <c:v>-116.05886164333879</c:v>
                </c:pt>
                <c:pt idx="7">
                  <c:v>-116.05027760860685</c:v>
                </c:pt>
                <c:pt idx="8">
                  <c:v>-116.03760598370536</c:v>
                </c:pt>
                <c:pt idx="9">
                  <c:v>-116.02084677710263</c:v>
                </c:pt>
                <c:pt idx="10">
                  <c:v>-116</c:v>
                </c:pt>
                <c:pt idx="11">
                  <c:v>-115.97506566633001</c:v>
                </c:pt>
                <c:pt idx="12">
                  <c:v>-115.94604379275734</c:v>
                </c:pt>
                <c:pt idx="13">
                  <c:v>-115.91293439867877</c:v>
                </c:pt>
                <c:pt idx="14">
                  <c:v>-115.87573750622141</c:v>
                </c:pt>
                <c:pt idx="15">
                  <c:v>-115.8344531402463</c:v>
                </c:pt>
                <c:pt idx="16">
                  <c:v>-115.78908132834567</c:v>
                </c:pt>
                <c:pt idx="17">
                  <c:v>-115.7396221008421</c:v>
                </c:pt>
                <c:pt idx="18">
                  <c:v>-115.68607549079297</c:v>
                </c:pt>
                <c:pt idx="19">
                  <c:v>-115.62844153398328</c:v>
                </c:pt>
                <c:pt idx="20">
                  <c:v>-115.56672026893375</c:v>
                </c:pt>
              </c:numCache>
            </c:numRef>
          </c:xVal>
          <c:yVal>
            <c:numRef>
              <c:f>'Advance trajectory'!$Q$32:$Q$52</c:f>
              <c:numCache>
                <c:formatCode>0.00</c:formatCode>
                <c:ptCount val="21"/>
                <c:pt idx="0">
                  <c:v>21.999854747434089</c:v>
                </c:pt>
                <c:pt idx="1">
                  <c:v>16.999880299979605</c:v>
                </c:pt>
                <c:pt idx="2">
                  <c:v>11.999894490842928</c:v>
                </c:pt>
                <c:pt idx="3">
                  <c:v>6.9999006617139736</c:v>
                </c:pt>
                <c:pt idx="4">
                  <c:v>1.9999021542771453</c:v>
                </c:pt>
                <c:pt idx="5">
                  <c:v>-3.000097689769158</c:v>
                </c:pt>
                <c:pt idx="6">
                  <c:v>-8.0000955287365088</c:v>
                </c:pt>
                <c:pt idx="7">
                  <c:v>-13.00008802092696</c:v>
                </c:pt>
                <c:pt idx="8">
                  <c:v>-18.000071824656992</c:v>
                </c:pt>
                <c:pt idx="9">
                  <c:v>-23.000043598238037</c:v>
                </c:pt>
                <c:pt idx="10">
                  <c:v>-28.00000000000043</c:v>
                </c:pt>
                <c:pt idx="11">
                  <c:v>-32.999937688276624</c:v>
                </c:pt>
                <c:pt idx="12">
                  <c:v>-37.999853321411599</c:v>
                </c:pt>
                <c:pt idx="13">
                  <c:v>-42.999743557773193</c:v>
                </c:pt>
                <c:pt idx="14">
                  <c:v>-47.99960505573538</c:v>
                </c:pt>
                <c:pt idx="15">
                  <c:v>-52.999434473702188</c:v>
                </c:pt>
                <c:pt idx="16">
                  <c:v>-57.999228470088241</c:v>
                </c:pt>
                <c:pt idx="17">
                  <c:v>-62.998983703342667</c:v>
                </c:pt>
                <c:pt idx="18">
                  <c:v>-67.998696831929678</c:v>
                </c:pt>
                <c:pt idx="19">
                  <c:v>-72.99836451435246</c:v>
                </c:pt>
                <c:pt idx="20">
                  <c:v>-77.997983409133724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7CA-40BF-8AB1-F01C790DBD30}"/>
            </c:ext>
          </c:extLst>
        </c:ser>
        <c:ser>
          <c:idx val="6"/>
          <c:order val="5"/>
          <c:marker>
            <c:symbol val="none"/>
          </c:marker>
          <c:xVal>
            <c:numRef>
              <c:f>'Advance trajectory'!$S$32:$S$52</c:f>
              <c:numCache>
                <c:formatCode>0.00</c:formatCode>
                <c:ptCount val="21"/>
                <c:pt idx="0">
                  <c:v>-34.738500915445002</c:v>
                </c:pt>
                <c:pt idx="1">
                  <c:v>-34.682799729296676</c:v>
                </c:pt>
                <c:pt idx="2">
                  <c:v>-34.623065334020794</c:v>
                </c:pt>
                <c:pt idx="3">
                  <c:v>-34.559297769539626</c:v>
                </c:pt>
                <c:pt idx="4">
                  <c:v>-34.491497078472094</c:v>
                </c:pt>
                <c:pt idx="5">
                  <c:v>-34.419663306131042</c:v>
                </c:pt>
                <c:pt idx="6">
                  <c:v>-34.343796500527787</c:v>
                </c:pt>
                <c:pt idx="7">
                  <c:v>-34.26389671236393</c:v>
                </c:pt>
                <c:pt idx="8">
                  <c:v>-34.179963995042272</c:v>
                </c:pt>
                <c:pt idx="9">
                  <c:v>-34.091998404657716</c:v>
                </c:pt>
                <c:pt idx="10">
                  <c:v>-34</c:v>
                </c:pt>
                <c:pt idx="11">
                  <c:v>-33.903968842555514</c:v>
                </c:pt>
                <c:pt idx="12">
                  <c:v>-33.80390499650639</c:v>
                </c:pt>
                <c:pt idx="13">
                  <c:v>-33.699808528729591</c:v>
                </c:pt>
                <c:pt idx="14">
                  <c:v>-33.591679508795096</c:v>
                </c:pt>
                <c:pt idx="15">
                  <c:v>-33.479518008970444</c:v>
                </c:pt>
                <c:pt idx="16">
                  <c:v>-33.363324104218918</c:v>
                </c:pt>
                <c:pt idx="17">
                  <c:v>-33.243097872194994</c:v>
                </c:pt>
                <c:pt idx="18">
                  <c:v>-33.118839393253438</c:v>
                </c:pt>
                <c:pt idx="19">
                  <c:v>-32.990548750438393</c:v>
                </c:pt>
                <c:pt idx="20">
                  <c:v>-32.858226029492471</c:v>
                </c:pt>
              </c:numCache>
            </c:numRef>
          </c:xVal>
          <c:yVal>
            <c:numRef>
              <c:f>'Advance trajectory'!$T$32:$T$52</c:f>
              <c:numCache>
                <c:formatCode>0.00</c:formatCode>
                <c:ptCount val="21"/>
                <c:pt idx="0">
                  <c:v>-65.667596867230571</c:v>
                </c:pt>
                <c:pt idx="1">
                  <c:v>-70.601089080804286</c:v>
                </c:pt>
                <c:pt idx="2">
                  <c:v>-75.534534108934039</c:v>
                </c:pt>
                <c:pt idx="3">
                  <c:v>-80.467928654401774</c:v>
                </c:pt>
                <c:pt idx="4">
                  <c:v>-85.401269420033927</c:v>
                </c:pt>
                <c:pt idx="5">
                  <c:v>-90.334553108682087</c:v>
                </c:pt>
                <c:pt idx="6">
                  <c:v>-95.267776423246787</c:v>
                </c:pt>
                <c:pt idx="7">
                  <c:v>-100.20093606665812</c:v>
                </c:pt>
                <c:pt idx="8">
                  <c:v>-105.13402874189948</c:v>
                </c:pt>
                <c:pt idx="9">
                  <c:v>-110.06705115198834</c:v>
                </c:pt>
                <c:pt idx="10">
                  <c:v>-114.9999999999998</c:v>
                </c:pt>
                <c:pt idx="11">
                  <c:v>-119.93287198905013</c:v>
                </c:pt>
                <c:pt idx="12">
                  <c:v>-124.86566382230687</c:v>
                </c:pt>
                <c:pt idx="13">
                  <c:v>-129.79837220299933</c:v>
                </c:pt>
                <c:pt idx="14">
                  <c:v>-134.73099383440174</c:v>
                </c:pt>
                <c:pt idx="15">
                  <c:v>-139.66352541985705</c:v>
                </c:pt>
                <c:pt idx="16">
                  <c:v>-144.59596366275773</c:v>
                </c:pt>
                <c:pt idx="17">
                  <c:v>-149.5283052665693</c:v>
                </c:pt>
                <c:pt idx="18">
                  <c:v>-154.46054693481122</c:v>
                </c:pt>
                <c:pt idx="19">
                  <c:v>-159.39268537108035</c:v>
                </c:pt>
                <c:pt idx="20">
                  <c:v>-164.32471727903192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7CA-40BF-8AB1-F01C790DBD30}"/>
            </c:ext>
          </c:extLst>
        </c:ser>
        <c:ser>
          <c:idx val="0"/>
          <c:order val="6"/>
          <c:tx>
            <c:v>Центр кривизны</c:v>
          </c:tx>
          <c:xVal>
            <c:numRef>
              <c:f>'Advance trajectory'!$E$12</c:f>
              <c:numCache>
                <c:formatCode>0.00</c:formatCode>
                <c:ptCount val="1"/>
                <c:pt idx="0">
                  <c:v>5999.9947802934194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6-A7CA-40BF-8AB1-F01C790DBD30}"/>
            </c:ext>
          </c:extLst>
        </c:ser>
        <c:ser>
          <c:idx val="7"/>
          <c:order val="7"/>
          <c:tx>
            <c:v>Вспм. 1</c:v>
          </c:tx>
          <c:spPr>
            <a:ln w="12700">
              <a:solidFill>
                <a:schemeClr val="bg1">
                  <a:lumMod val="50000"/>
                </a:schemeClr>
              </a:solidFill>
              <a:prstDash val="solid"/>
            </a:ln>
          </c:spPr>
          <c:marker>
            <c:symbol val="none"/>
          </c:marker>
          <c:xVal>
            <c:numRef>
              <c:f>('Advance trajectory'!$E$12,'Advance trajectory'!$C$7,'Advance trajectory'!$E$12,'Advance trajectory'!$E$7,'Advance trajectory'!$E$12,'Advance trajectory'!$G$7,'Advance trajectory'!$E$12,'Advance trajectory'!$I$7,'Advance trajectory'!$E$12,'Advance trajectory'!$K$7,'Advance trajectory'!$E$12,'Advance trajectory'!$M$7)</c:f>
              <c:numCache>
                <c:formatCode>General</c:formatCode>
                <c:ptCount val="12"/>
                <c:pt idx="0" formatCode="0.00">
                  <c:v>5999.9947802934194</c:v>
                </c:pt>
                <c:pt idx="1">
                  <c:v>34</c:v>
                </c:pt>
                <c:pt idx="2" formatCode="0.00">
                  <c:v>5999.9947802934194</c:v>
                </c:pt>
                <c:pt idx="3">
                  <c:v>116</c:v>
                </c:pt>
                <c:pt idx="4" formatCode="0.00">
                  <c:v>5999.9947802934194</c:v>
                </c:pt>
                <c:pt idx="5">
                  <c:v>82</c:v>
                </c:pt>
                <c:pt idx="6" formatCode="0.00">
                  <c:v>5999.9947802934194</c:v>
                </c:pt>
                <c:pt idx="7">
                  <c:v>-82</c:v>
                </c:pt>
                <c:pt idx="8" formatCode="0.00">
                  <c:v>5999.9947802934194</c:v>
                </c:pt>
                <c:pt idx="9">
                  <c:v>-116</c:v>
                </c:pt>
                <c:pt idx="10" formatCode="0.00">
                  <c:v>5999.9947802934194</c:v>
                </c:pt>
                <c:pt idx="11">
                  <c:v>-34</c:v>
                </c:pt>
              </c:numCache>
            </c:numRef>
          </c:xVal>
          <c:yVal>
            <c:numRef>
              <c:f>('Advance trajectory'!$A$1,'Advance trajectory'!$C$9,'Advance trajectory'!$A$1,'Advance trajectory'!$E$9,'Advance trajectory'!$A$1,'Advance trajectory'!$G$9,'Advance trajectory'!$A$1,'Advance trajectory'!$I$9,'Advance trajectory'!$A$1,'Advance trajectory'!$K$9,'Advance trajectory'!$A$1,'Advance trajectory'!$M$9)</c:f>
              <c:numCache>
                <c:formatCode>General</c:formatCode>
                <c:ptCount val="12"/>
                <c:pt idx="0">
                  <c:v>0</c:v>
                </c:pt>
                <c:pt idx="1">
                  <c:v>115</c:v>
                </c:pt>
                <c:pt idx="2">
                  <c:v>0</c:v>
                </c:pt>
                <c:pt idx="3">
                  <c:v>28</c:v>
                </c:pt>
                <c:pt idx="4">
                  <c:v>0</c:v>
                </c:pt>
                <c:pt idx="5">
                  <c:v>-86</c:v>
                </c:pt>
                <c:pt idx="6">
                  <c:v>0</c:v>
                </c:pt>
                <c:pt idx="7">
                  <c:v>86</c:v>
                </c:pt>
                <c:pt idx="8">
                  <c:v>0</c:v>
                </c:pt>
                <c:pt idx="9">
                  <c:v>-28</c:v>
                </c:pt>
                <c:pt idx="10">
                  <c:v>0</c:v>
                </c:pt>
                <c:pt idx="11">
                  <c:v>-115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A7CA-40BF-8AB1-F01C790DB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04288"/>
        <c:axId val="151005824"/>
      </c:scatterChart>
      <c:valAx>
        <c:axId val="151004288"/>
        <c:scaling>
          <c:orientation val="minMax"/>
          <c:max val="150"/>
          <c:min val="-150"/>
        </c:scaling>
        <c:delete val="0"/>
        <c:axPos val="b"/>
        <c:numFmt formatCode="0.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51005824"/>
        <c:crosses val="autoZero"/>
        <c:crossBetween val="midCat"/>
        <c:majorUnit val="25"/>
      </c:valAx>
      <c:valAx>
        <c:axId val="151005824"/>
        <c:scaling>
          <c:orientation val="minMax"/>
          <c:max val="150"/>
          <c:min val="-150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numFmt formatCode="0.0" sourceLinked="0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latin typeface="Arial"/>
              </a:defRPr>
            </a:pPr>
            <a:endParaRPr lang="ru-RU"/>
          </a:p>
        </c:txPr>
        <c:crossAx val="151004288"/>
        <c:crosses val="autoZero"/>
        <c:crossBetween val="midCat"/>
        <c:majorUnit val="25"/>
      </c:valAx>
      <c:spPr>
        <a:noFill/>
        <a:ln>
          <a:solidFill>
            <a:srgbClr val="B3B3B3"/>
          </a:solidFill>
        </a:ln>
      </c:spPr>
    </c:plotArea>
    <c:plotVisOnly val="1"/>
    <c:dispBlanksAs val="span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'Advance trajectory'!$V$3:$V$43</c:f>
              <c:numCache>
                <c:formatCode>General</c:formatCode>
                <c:ptCount val="41"/>
                <c:pt idx="0">
                  <c:v>-1000</c:v>
                </c:pt>
                <c:pt idx="1">
                  <c:v>-950</c:v>
                </c:pt>
                <c:pt idx="2">
                  <c:v>-900</c:v>
                </c:pt>
                <c:pt idx="3">
                  <c:v>-850</c:v>
                </c:pt>
                <c:pt idx="4">
                  <c:v>-800</c:v>
                </c:pt>
                <c:pt idx="5">
                  <c:v>-750</c:v>
                </c:pt>
                <c:pt idx="6">
                  <c:v>-700</c:v>
                </c:pt>
                <c:pt idx="7">
                  <c:v>-650</c:v>
                </c:pt>
                <c:pt idx="8">
                  <c:v>-600</c:v>
                </c:pt>
                <c:pt idx="9">
                  <c:v>-550</c:v>
                </c:pt>
                <c:pt idx="10">
                  <c:v>-500</c:v>
                </c:pt>
                <c:pt idx="11">
                  <c:v>-450</c:v>
                </c:pt>
                <c:pt idx="12">
                  <c:v>-400</c:v>
                </c:pt>
                <c:pt idx="13">
                  <c:v>-350</c:v>
                </c:pt>
                <c:pt idx="14">
                  <c:v>-300</c:v>
                </c:pt>
                <c:pt idx="15">
                  <c:v>-250</c:v>
                </c:pt>
                <c:pt idx="16">
                  <c:v>-200</c:v>
                </c:pt>
                <c:pt idx="17">
                  <c:v>-150</c:v>
                </c:pt>
                <c:pt idx="18">
                  <c:v>-100</c:v>
                </c:pt>
                <c:pt idx="19">
                  <c:v>-50</c:v>
                </c:pt>
                <c:pt idx="20">
                  <c:v>0</c:v>
                </c:pt>
                <c:pt idx="21">
                  <c:v>50</c:v>
                </c:pt>
                <c:pt idx="22">
                  <c:v>100</c:v>
                </c:pt>
                <c:pt idx="23">
                  <c:v>150</c:v>
                </c:pt>
                <c:pt idx="24">
                  <c:v>200</c:v>
                </c:pt>
                <c:pt idx="25">
                  <c:v>250</c:v>
                </c:pt>
                <c:pt idx="26">
                  <c:v>300</c:v>
                </c:pt>
                <c:pt idx="27">
                  <c:v>350</c:v>
                </c:pt>
                <c:pt idx="28">
                  <c:v>400</c:v>
                </c:pt>
                <c:pt idx="29">
                  <c:v>450</c:v>
                </c:pt>
                <c:pt idx="30">
                  <c:v>500</c:v>
                </c:pt>
                <c:pt idx="31">
                  <c:v>550</c:v>
                </c:pt>
                <c:pt idx="32">
                  <c:v>600</c:v>
                </c:pt>
                <c:pt idx="33">
                  <c:v>650</c:v>
                </c:pt>
                <c:pt idx="34">
                  <c:v>700</c:v>
                </c:pt>
                <c:pt idx="35">
                  <c:v>750</c:v>
                </c:pt>
                <c:pt idx="36">
                  <c:v>800</c:v>
                </c:pt>
                <c:pt idx="37">
                  <c:v>850</c:v>
                </c:pt>
                <c:pt idx="38">
                  <c:v>900</c:v>
                </c:pt>
                <c:pt idx="39">
                  <c:v>950</c:v>
                </c:pt>
                <c:pt idx="40">
                  <c:v>1000</c:v>
                </c:pt>
              </c:numCache>
            </c:numRef>
          </c:xVal>
          <c:yVal>
            <c:numRef>
              <c:f>'Advance trajectory'!$W$3:$W$43</c:f>
              <c:numCache>
                <c:formatCode>0</c:formatCode>
                <c:ptCount val="41"/>
                <c:pt idx="0">
                  <c:v>-1</c:v>
                </c:pt>
                <c:pt idx="1">
                  <c:v>-1.5449255746015966</c:v>
                </c:pt>
                <c:pt idx="2">
                  <c:v>-2.3867950310580737</c:v>
                </c:pt>
                <c:pt idx="3">
                  <c:v>-3.6874206848136306</c:v>
                </c:pt>
                <c:pt idx="4">
                  <c:v>-5.6967905202835105</c:v>
                </c:pt>
                <c:pt idx="5">
                  <c:v>-8.8011173679339318</c:v>
                </c:pt>
                <c:pt idx="6">
                  <c:v>-13.597071306791424</c:v>
                </c:pt>
                <c:pt idx="7">
                  <c:v>-21.006463201543625</c:v>
                </c:pt>
                <c:pt idx="8">
                  <c:v>-32.453422231992072</c:v>
                </c:pt>
                <c:pt idx="9">
                  <c:v>-50.138121989548587</c:v>
                </c:pt>
                <c:pt idx="10">
                  <c:v>-77.459666924148308</c:v>
                </c:pt>
                <c:pt idx="11">
                  <c:v>-119.66942043123808</c:v>
                </c:pt>
                <c:pt idx="12">
                  <c:v>-184.88034812197066</c:v>
                </c:pt>
                <c:pt idx="13">
                  <c:v>-285.62637805487861</c:v>
                </c:pt>
                <c:pt idx="14">
                  <c:v>-441.2714962378065</c:v>
                </c:pt>
                <c:pt idx="15">
                  <c:v>-681.73161988049924</c:v>
                </c:pt>
                <c:pt idx="16">
                  <c:v>-1053.2246145679571</c:v>
                </c:pt>
                <c:pt idx="17">
                  <c:v>-1627.1536428459474</c:v>
                </c:pt>
                <c:pt idx="18">
                  <c:v>-2513.8312766388558</c:v>
                </c:pt>
                <c:pt idx="19">
                  <c:v>-3883.6822295127517</c:v>
                </c:pt>
                <c:pt idx="21">
                  <c:v>3883.6822295127517</c:v>
                </c:pt>
                <c:pt idx="22">
                  <c:v>2513.8312766388558</c:v>
                </c:pt>
                <c:pt idx="23">
                  <c:v>1627.1536428459474</c:v>
                </c:pt>
                <c:pt idx="24">
                  <c:v>1053.2246145679571</c:v>
                </c:pt>
                <c:pt idx="25">
                  <c:v>681.73161988049924</c:v>
                </c:pt>
                <c:pt idx="26">
                  <c:v>441.2714962378065</c:v>
                </c:pt>
                <c:pt idx="27">
                  <c:v>285.62637805487861</c:v>
                </c:pt>
                <c:pt idx="28">
                  <c:v>184.88034812197066</c:v>
                </c:pt>
                <c:pt idx="29">
                  <c:v>119.66942043123808</c:v>
                </c:pt>
                <c:pt idx="30">
                  <c:v>77.459666924148308</c:v>
                </c:pt>
                <c:pt idx="31">
                  <c:v>50.138121989548587</c:v>
                </c:pt>
                <c:pt idx="32">
                  <c:v>32.453422231992072</c:v>
                </c:pt>
                <c:pt idx="33">
                  <c:v>21.006463201543625</c:v>
                </c:pt>
                <c:pt idx="34">
                  <c:v>13.597071306791424</c:v>
                </c:pt>
                <c:pt idx="35">
                  <c:v>8.8011173679339318</c:v>
                </c:pt>
                <c:pt idx="36">
                  <c:v>5.6967905202835105</c:v>
                </c:pt>
                <c:pt idx="37">
                  <c:v>3.6874206848136306</c:v>
                </c:pt>
                <c:pt idx="38">
                  <c:v>2.3867950310580737</c:v>
                </c:pt>
                <c:pt idx="39">
                  <c:v>1.5449255746015966</c:v>
                </c:pt>
                <c:pt idx="4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8F-4F8B-B02C-6AD5590ED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009152"/>
        <c:axId val="151010688"/>
      </c:scatterChart>
      <c:valAx>
        <c:axId val="151009152"/>
        <c:scaling>
          <c:orientation val="minMax"/>
          <c:max val="1000"/>
          <c:min val="-1000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51010688"/>
        <c:crosses val="autoZero"/>
        <c:crossBetween val="midCat"/>
        <c:majorUnit val="200"/>
      </c:valAx>
      <c:valAx>
        <c:axId val="151010688"/>
        <c:scaling>
          <c:orientation val="minMax"/>
          <c:max val="10000"/>
          <c:min val="-10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151009152"/>
        <c:crosses val="autoZero"/>
        <c:crossBetween val="midCat"/>
        <c:majorUnit val="2000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XY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Stabilization!$G$3:$G$4</c:f>
              <c:numCache>
                <c:formatCode>General</c:formatCode>
                <c:ptCount val="2"/>
                <c:pt idx="0">
                  <c:v>-50</c:v>
                </c:pt>
                <c:pt idx="1">
                  <c:v>-50</c:v>
                </c:pt>
              </c:numCache>
            </c:numRef>
          </c:xVal>
          <c:yVal>
            <c:numRef>
              <c:f>Stabilization!$H$3:$H$4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4F-4577-9F58-99F9813BAAEF}"/>
            </c:ext>
          </c:extLst>
        </c:ser>
        <c:ser>
          <c:idx val="1"/>
          <c:order val="1"/>
          <c:xVal>
            <c:numRef>
              <c:f>Stabilization!$P$3:$P$4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xVal>
          <c:yVal>
            <c:numRef>
              <c:f>Stabilization!$Q$3:$Q$4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4F-4577-9F58-99F9813BA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659200"/>
        <c:axId val="177115136"/>
      </c:scatterChart>
      <c:valAx>
        <c:axId val="40659200"/>
        <c:scaling>
          <c:orientation val="minMax"/>
          <c:max val="60"/>
          <c:min val="-60"/>
        </c:scaling>
        <c:delete val="0"/>
        <c:axPos val="b"/>
        <c:numFmt formatCode="General" sourceLinked="1"/>
        <c:majorTickMark val="out"/>
        <c:minorTickMark val="none"/>
        <c:tickLblPos val="nextTo"/>
        <c:crossAx val="177115136"/>
        <c:crosses val="autoZero"/>
        <c:crossBetween val="midCat"/>
      </c:valAx>
      <c:valAx>
        <c:axId val="177115136"/>
        <c:scaling>
          <c:orientation val="minMax"/>
          <c:max val="50"/>
          <c:min val="-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0659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ZY left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Stabilization!$I$3:$I$4</c:f>
              <c:numCache>
                <c:formatCode>General</c:formatCode>
                <c:ptCount val="2"/>
                <c:pt idx="0">
                  <c:v>-30</c:v>
                </c:pt>
                <c:pt idx="1">
                  <c:v>-30</c:v>
                </c:pt>
              </c:numCache>
            </c:numRef>
          </c:xVal>
          <c:yVal>
            <c:numRef>
              <c:f>Stabilization!$H$3:$H$4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A79-4652-AE08-2CB7757A39C5}"/>
            </c:ext>
          </c:extLst>
        </c:ser>
        <c:ser>
          <c:idx val="1"/>
          <c:order val="1"/>
          <c:xVal>
            <c:numRef>
              <c:f>Stabilization!$L$3:$L$4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Stabilization!$K$3:$K$4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A79-4652-AE08-2CB7757A39C5}"/>
            </c:ext>
          </c:extLst>
        </c:ser>
        <c:ser>
          <c:idx val="2"/>
          <c:order val="2"/>
          <c:xVal>
            <c:numRef>
              <c:f>Stabilization!$O$3:$O$4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Stabilization!$N$3:$N$4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A79-4652-AE08-2CB7757A3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38272"/>
        <c:axId val="40839808"/>
      </c:scatterChart>
      <c:valAx>
        <c:axId val="40838272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crossAx val="40839808"/>
        <c:crosses val="autoZero"/>
        <c:crossBetween val="midCat"/>
      </c:valAx>
      <c:valAx>
        <c:axId val="40839808"/>
        <c:scaling>
          <c:orientation val="minMax"/>
          <c:max val="50"/>
          <c:min val="-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08382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ZY right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Stabilization!$R$3:$R$4</c:f>
              <c:numCache>
                <c:formatCode>General</c:formatCode>
                <c:ptCount val="2"/>
                <c:pt idx="0">
                  <c:v>-30</c:v>
                </c:pt>
                <c:pt idx="1">
                  <c:v>-30</c:v>
                </c:pt>
              </c:numCache>
            </c:numRef>
          </c:xVal>
          <c:yVal>
            <c:numRef>
              <c:f>Stabilization!$Q$3:$Q$4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F1-4B51-8E80-BF6058702053}"/>
            </c:ext>
          </c:extLst>
        </c:ser>
        <c:ser>
          <c:idx val="1"/>
          <c:order val="1"/>
          <c:xVal>
            <c:numRef>
              <c:f>Stabilization!$U$3:$U$4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xVal>
          <c:yVal>
            <c:numRef>
              <c:f>Stabilization!$T$3:$T$4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F1-4B51-8E80-BF6058702053}"/>
            </c:ext>
          </c:extLst>
        </c:ser>
        <c:ser>
          <c:idx val="2"/>
          <c:order val="2"/>
          <c:xVal>
            <c:numRef>
              <c:f>Stabilization!$X$3:$X$4</c:f>
              <c:numCache>
                <c:formatCode>General</c:formatCode>
                <c:ptCount val="2"/>
                <c:pt idx="0">
                  <c:v>30</c:v>
                </c:pt>
                <c:pt idx="1">
                  <c:v>30</c:v>
                </c:pt>
              </c:numCache>
            </c:numRef>
          </c:xVal>
          <c:yVal>
            <c:numRef>
              <c:f>Stabilization!$W$3:$W$4</c:f>
              <c:numCache>
                <c:formatCode>General</c:formatCode>
                <c:ptCount val="2"/>
                <c:pt idx="0">
                  <c:v>0</c:v>
                </c:pt>
                <c:pt idx="1">
                  <c:v>-85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DF1-4B51-8E80-BF6058702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869888"/>
        <c:axId val="40871424"/>
      </c:scatterChart>
      <c:valAx>
        <c:axId val="40869888"/>
        <c:scaling>
          <c:orientation val="minMax"/>
          <c:max val="40"/>
          <c:min val="-40"/>
        </c:scaling>
        <c:delete val="0"/>
        <c:axPos val="b"/>
        <c:numFmt formatCode="General" sourceLinked="1"/>
        <c:majorTickMark val="out"/>
        <c:minorTickMark val="none"/>
        <c:tickLblPos val="nextTo"/>
        <c:crossAx val="40871424"/>
        <c:crosses val="autoZero"/>
        <c:crossBetween val="midCat"/>
      </c:valAx>
      <c:valAx>
        <c:axId val="40871424"/>
        <c:scaling>
          <c:orientation val="minMax"/>
          <c:max val="50"/>
          <c:min val="-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spPr>
          <a:ln>
            <a:solidFill>
              <a:schemeClr val="tx1"/>
            </a:solidFill>
          </a:ln>
        </c:spPr>
        <c:crossAx val="40869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'Joystick smooth'!$B$3:$B$38</c:f>
              <c:numCache>
                <c:formatCode>0.0000</c:formatCode>
                <c:ptCount val="36"/>
                <c:pt idx="0">
                  <c:v>-999.99999999999989</c:v>
                </c:pt>
                <c:pt idx="1">
                  <c:v>-941.17647058823525</c:v>
                </c:pt>
                <c:pt idx="2">
                  <c:v>-882.35294117647049</c:v>
                </c:pt>
                <c:pt idx="3">
                  <c:v>-823.52941176470586</c:v>
                </c:pt>
                <c:pt idx="4">
                  <c:v>-764.7058823529411</c:v>
                </c:pt>
                <c:pt idx="5">
                  <c:v>-705.88235294117646</c:v>
                </c:pt>
                <c:pt idx="6">
                  <c:v>-647.05882352941171</c:v>
                </c:pt>
                <c:pt idx="7">
                  <c:v>-588.23529411764707</c:v>
                </c:pt>
                <c:pt idx="8">
                  <c:v>-529.41176470588232</c:v>
                </c:pt>
                <c:pt idx="9">
                  <c:v>-470.58823529411762</c:v>
                </c:pt>
                <c:pt idx="10">
                  <c:v>-411.76470588235293</c:v>
                </c:pt>
                <c:pt idx="11">
                  <c:v>-352.94117647058823</c:v>
                </c:pt>
                <c:pt idx="12">
                  <c:v>-294.11764705882354</c:v>
                </c:pt>
                <c:pt idx="13">
                  <c:v>-235.29411764705881</c:v>
                </c:pt>
                <c:pt idx="14">
                  <c:v>-176.47058823529412</c:v>
                </c:pt>
                <c:pt idx="15">
                  <c:v>-117.64705882352941</c:v>
                </c:pt>
                <c:pt idx="16">
                  <c:v>-58.823529411764703</c:v>
                </c:pt>
                <c:pt idx="17">
                  <c:v>-11.76470588235294</c:v>
                </c:pt>
                <c:pt idx="18">
                  <c:v>11.76470588235294</c:v>
                </c:pt>
                <c:pt idx="19">
                  <c:v>58.823529411764703</c:v>
                </c:pt>
                <c:pt idx="20">
                  <c:v>117.64705882352941</c:v>
                </c:pt>
                <c:pt idx="21">
                  <c:v>176.47058823529412</c:v>
                </c:pt>
                <c:pt idx="22">
                  <c:v>235.29411764705881</c:v>
                </c:pt>
                <c:pt idx="23">
                  <c:v>294.11764705882354</c:v>
                </c:pt>
                <c:pt idx="24">
                  <c:v>352.94117647058823</c:v>
                </c:pt>
                <c:pt idx="25">
                  <c:v>411.76470588235293</c:v>
                </c:pt>
                <c:pt idx="26">
                  <c:v>470.58823529411762</c:v>
                </c:pt>
                <c:pt idx="27">
                  <c:v>529.41176470588232</c:v>
                </c:pt>
                <c:pt idx="28">
                  <c:v>588.23529411764707</c:v>
                </c:pt>
                <c:pt idx="29">
                  <c:v>647.05882352941171</c:v>
                </c:pt>
                <c:pt idx="30">
                  <c:v>705.88235294117646</c:v>
                </c:pt>
                <c:pt idx="31">
                  <c:v>764.7058823529411</c:v>
                </c:pt>
                <c:pt idx="32">
                  <c:v>823.52941176470586</c:v>
                </c:pt>
                <c:pt idx="33">
                  <c:v>882.35294117647049</c:v>
                </c:pt>
                <c:pt idx="34">
                  <c:v>941.17647058823525</c:v>
                </c:pt>
                <c:pt idx="35">
                  <c:v>999.99999999999989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1D-4B4A-8366-DD214715B4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034880"/>
        <c:axId val="151053056"/>
      </c:lineChart>
      <c:catAx>
        <c:axId val="151034880"/>
        <c:scaling>
          <c:orientation val="minMax"/>
        </c:scaling>
        <c:delete val="0"/>
        <c:axPos val="b"/>
        <c:majorTickMark val="out"/>
        <c:minorTickMark val="none"/>
        <c:tickLblPos val="nextTo"/>
        <c:crossAx val="151053056"/>
        <c:crosses val="autoZero"/>
        <c:auto val="1"/>
        <c:lblAlgn val="ctr"/>
        <c:lblOffset val="100"/>
        <c:noMultiLvlLbl val="0"/>
      </c:catAx>
      <c:valAx>
        <c:axId val="151053056"/>
        <c:scaling>
          <c:orientation val="minMax"/>
        </c:scaling>
        <c:delete val="0"/>
        <c:axPos val="l"/>
        <c:majorGridlines/>
        <c:numFmt formatCode="0.0000" sourceLinked="1"/>
        <c:majorTickMark val="out"/>
        <c:minorTickMark val="none"/>
        <c:tickLblPos val="nextTo"/>
        <c:crossAx val="151034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340178</xdr:colOff>
      <xdr:row>0</xdr:row>
      <xdr:rowOff>136071</xdr:rowOff>
    </xdr:from>
    <xdr:to>
      <xdr:col>26</xdr:col>
      <xdr:colOff>571499</xdr:colOff>
      <xdr:row>14</xdr:row>
      <xdr:rowOff>144235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BD03B1EE-16BB-4567-9A5B-F0E36E6622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601436</xdr:colOff>
      <xdr:row>0</xdr:row>
      <xdr:rowOff>138793</xdr:rowOff>
    </xdr:from>
    <xdr:to>
      <xdr:col>21</xdr:col>
      <xdr:colOff>274865</xdr:colOff>
      <xdr:row>14</xdr:row>
      <xdr:rowOff>146957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78147298-F5DE-44FB-88D8-655EA6FD53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104775</xdr:colOff>
      <xdr:row>0</xdr:row>
      <xdr:rowOff>117661</xdr:rowOff>
    </xdr:from>
    <xdr:to>
      <xdr:col>20</xdr:col>
      <xdr:colOff>13893</xdr:colOff>
      <xdr:row>28</xdr:row>
      <xdr:rowOff>82808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44823</xdr:colOff>
      <xdr:row>3</xdr:row>
      <xdr:rowOff>40340</xdr:rowOff>
    </xdr:from>
    <xdr:to>
      <xdr:col>31</xdr:col>
      <xdr:colOff>44823</xdr:colOff>
      <xdr:row>35</xdr:row>
      <xdr:rowOff>168088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</xdr:colOff>
      <xdr:row>8</xdr:row>
      <xdr:rowOff>47625</xdr:rowOff>
    </xdr:from>
    <xdr:to>
      <xdr:col>6</xdr:col>
      <xdr:colOff>571500</xdr:colOff>
      <xdr:row>30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38101</xdr:colOff>
      <xdr:row>8</xdr:row>
      <xdr:rowOff>47625</xdr:rowOff>
    </xdr:from>
    <xdr:to>
      <xdr:col>14</xdr:col>
      <xdr:colOff>457201</xdr:colOff>
      <xdr:row>30</xdr:row>
      <xdr:rowOff>152400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485775</xdr:colOff>
      <xdr:row>8</xdr:row>
      <xdr:rowOff>47625</xdr:rowOff>
    </xdr:from>
    <xdr:to>
      <xdr:col>22</xdr:col>
      <xdr:colOff>561975</xdr:colOff>
      <xdr:row>30</xdr:row>
      <xdr:rowOff>152400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</xdr:colOff>
      <xdr:row>1</xdr:row>
      <xdr:rowOff>47625</xdr:rowOff>
    </xdr:from>
    <xdr:to>
      <xdr:col>19</xdr:col>
      <xdr:colOff>209550</xdr:colOff>
      <xdr:row>35</xdr:row>
      <xdr:rowOff>47625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H178"/>
  <sheetViews>
    <sheetView tabSelected="1" topLeftCell="O1" zoomScale="130" zoomScaleNormal="130" workbookViewId="0">
      <selection activeCell="AB8" sqref="AB8"/>
    </sheetView>
  </sheetViews>
  <sheetFormatPr defaultColWidth="8.7109375" defaultRowHeight="15" x14ac:dyDescent="0.25"/>
  <cols>
    <col min="1" max="1" width="3.140625" customWidth="1"/>
    <col min="2" max="2" width="18.42578125" customWidth="1"/>
    <col min="5" max="22" width="12.28515625" customWidth="1"/>
    <col min="23" max="23" width="12.28515625" style="233" customWidth="1"/>
    <col min="24" max="24" width="11.42578125" customWidth="1"/>
    <col min="25" max="25" width="15.28515625" customWidth="1"/>
    <col min="26" max="27" width="13.85546875" bestFit="1" customWidth="1"/>
    <col min="28" max="28" width="11.7109375" customWidth="1"/>
    <col min="29" max="29" width="11.7109375" bestFit="1" customWidth="1"/>
    <col min="30" max="30" width="9.7109375" bestFit="1" customWidth="1"/>
    <col min="31" max="31" width="10.7109375" bestFit="1" customWidth="1"/>
  </cols>
  <sheetData>
    <row r="2" spans="2:18" x14ac:dyDescent="0.25">
      <c r="B2" s="1" t="s">
        <v>0</v>
      </c>
      <c r="C2" s="2">
        <v>106</v>
      </c>
      <c r="E2" s="130" t="s">
        <v>1</v>
      </c>
      <c r="F2" s="130"/>
      <c r="G2" s="130"/>
      <c r="H2" s="131" t="s">
        <v>2</v>
      </c>
      <c r="I2" s="131"/>
      <c r="J2" s="132" t="s">
        <v>3</v>
      </c>
      <c r="K2" s="132"/>
      <c r="L2" s="132"/>
      <c r="M2" s="133" t="s">
        <v>4</v>
      </c>
      <c r="N2" s="133"/>
    </row>
    <row r="3" spans="2:18" x14ac:dyDescent="0.25">
      <c r="B3" s="3" t="s">
        <v>5</v>
      </c>
      <c r="C3" s="4">
        <v>0</v>
      </c>
      <c r="E3" s="70" t="s">
        <v>6</v>
      </c>
      <c r="F3" s="71" t="s">
        <v>7</v>
      </c>
      <c r="G3" s="5" t="s">
        <v>8</v>
      </c>
      <c r="H3" s="6" t="s">
        <v>9</v>
      </c>
      <c r="I3" s="7" t="s">
        <v>10</v>
      </c>
      <c r="J3" s="8" t="s">
        <v>6</v>
      </c>
      <c r="K3" s="71" t="s">
        <v>7</v>
      </c>
      <c r="L3" s="9" t="s">
        <v>8</v>
      </c>
      <c r="M3" s="10" t="s">
        <v>11</v>
      </c>
      <c r="N3" s="11" t="s">
        <v>12</v>
      </c>
    </row>
    <row r="4" spans="2:18" ht="15.75" thickBot="1" x14ac:dyDescent="0.3">
      <c r="B4" s="3" t="s">
        <v>13</v>
      </c>
      <c r="C4" s="4">
        <v>73</v>
      </c>
      <c r="E4" s="12">
        <f>C9*COS(RADIANS(C2)) + C11*SIN(RADIANS(C2))</f>
        <v>-37.211043035294871</v>
      </c>
      <c r="F4" s="13">
        <f>C10</f>
        <v>-15</v>
      </c>
      <c r="G4" s="14">
        <f>-C9*SIN(RADIANS(C2)) + C11*COS(RADIANS(C2))</f>
        <v>-129.77032895167304</v>
      </c>
      <c r="H4" s="15">
        <f>ATAN2(E4, G4)</f>
        <v>-1.8500490071139892</v>
      </c>
      <c r="I4" s="16">
        <f>DEGREES(H4)</f>
        <v>-106</v>
      </c>
      <c r="J4" s="17">
        <f>E4*COS(H4) + G4*SIN(H4)</f>
        <v>134.99999999999997</v>
      </c>
      <c r="K4" s="13">
        <f>F4</f>
        <v>-15</v>
      </c>
      <c r="L4" s="18">
        <f>-E4*SIN(H4) + G4*COS(H4)</f>
        <v>0</v>
      </c>
      <c r="M4" s="19">
        <f>J4-C5</f>
        <v>118.99999999999997</v>
      </c>
      <c r="N4" s="20">
        <f>K4</f>
        <v>-15</v>
      </c>
    </row>
    <row r="5" spans="2:18" ht="15.75" thickBot="1" x14ac:dyDescent="0.3">
      <c r="B5" s="3" t="s">
        <v>14</v>
      </c>
      <c r="C5" s="4">
        <v>16</v>
      </c>
    </row>
    <row r="6" spans="2:18" x14ac:dyDescent="0.25">
      <c r="B6" s="3" t="s">
        <v>15</v>
      </c>
      <c r="C6" s="4">
        <v>82</v>
      </c>
      <c r="E6" s="131" t="s">
        <v>16</v>
      </c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21"/>
      <c r="Q6" s="21"/>
      <c r="R6" s="21"/>
    </row>
    <row r="7" spans="2:18" ht="15.75" thickBot="1" x14ac:dyDescent="0.3">
      <c r="B7" s="22" t="s">
        <v>17</v>
      </c>
      <c r="C7" s="23">
        <v>123</v>
      </c>
      <c r="E7" s="127" t="s">
        <v>18</v>
      </c>
      <c r="F7" s="127"/>
      <c r="G7" s="71" t="s">
        <v>19</v>
      </c>
      <c r="H7" s="71" t="s">
        <v>20</v>
      </c>
      <c r="I7" s="71" t="s">
        <v>21</v>
      </c>
      <c r="J7" s="71" t="s">
        <v>22</v>
      </c>
      <c r="K7" s="24" t="s">
        <v>23</v>
      </c>
      <c r="L7" s="128" t="s">
        <v>24</v>
      </c>
      <c r="M7" s="128"/>
      <c r="N7" s="129" t="s">
        <v>25</v>
      </c>
      <c r="O7" s="129"/>
      <c r="P7" s="25"/>
      <c r="Q7" s="25"/>
      <c r="R7" s="25"/>
    </row>
    <row r="8" spans="2:18" ht="15.75" thickBot="1" x14ac:dyDescent="0.3">
      <c r="E8" s="26">
        <f>ATAN2(M4, N4)</f>
        <v>-0.12538912034151628</v>
      </c>
      <c r="F8" s="27">
        <f>DEGREES(E8)</f>
        <v>-7.1842673924268627</v>
      </c>
      <c r="G8" s="27">
        <f>SQRT(M4*M4+N4*N4)</f>
        <v>119.9416524815295</v>
      </c>
      <c r="H8" s="28" t="str">
        <f>IF(C6 + C7 &gt;G8, "TRUE", "FALSE")</f>
        <v>TRUE</v>
      </c>
      <c r="I8" s="29">
        <f>C6*C6</f>
        <v>6724</v>
      </c>
      <c r="J8" s="29">
        <f>C7*C7</f>
        <v>15129</v>
      </c>
      <c r="K8" s="30">
        <f>G8*G8</f>
        <v>14385.999999999993</v>
      </c>
      <c r="L8" s="27">
        <f>ACOS((I8 + K8 - J8) / (2 * C6 * G8))</f>
        <v>1.2618443045327206</v>
      </c>
      <c r="M8" s="27">
        <f>DEGREES(L8)</f>
        <v>72.298353052345462</v>
      </c>
      <c r="N8" s="13">
        <f>ACOS(( J8 + I8 - K8) / (2 * C7 * C6))</f>
        <v>1.1916080081720055</v>
      </c>
      <c r="O8" s="31">
        <f>DEGREES(N8)</f>
        <v>68.27410970224642</v>
      </c>
      <c r="P8" s="32"/>
      <c r="Q8" s="32"/>
      <c r="R8" s="32"/>
    </row>
    <row r="9" spans="2:18" x14ac:dyDescent="0.25">
      <c r="B9" s="33" t="s">
        <v>26</v>
      </c>
      <c r="C9" s="34">
        <v>135</v>
      </c>
    </row>
    <row r="10" spans="2:18" x14ac:dyDescent="0.25">
      <c r="B10" s="35" t="s">
        <v>27</v>
      </c>
      <c r="C10" s="36">
        <v>-15</v>
      </c>
    </row>
    <row r="11" spans="2:18" ht="15.75" thickBot="1" x14ac:dyDescent="0.3">
      <c r="B11" s="37" t="s">
        <v>28</v>
      </c>
      <c r="C11" s="38">
        <v>0</v>
      </c>
    </row>
    <row r="13" spans="2:18" x14ac:dyDescent="0.25">
      <c r="B13" s="39" t="s">
        <v>29</v>
      </c>
      <c r="C13" s="40">
        <f>I4</f>
        <v>-106</v>
      </c>
    </row>
    <row r="14" spans="2:18" x14ac:dyDescent="0.25">
      <c r="B14" s="41" t="s">
        <v>30</v>
      </c>
      <c r="C14" s="42">
        <f>C3 - M8 - F8</f>
        <v>-65.114085659918601</v>
      </c>
    </row>
    <row r="15" spans="2:18" ht="15.75" thickBot="1" x14ac:dyDescent="0.3">
      <c r="B15" s="43" t="s">
        <v>31</v>
      </c>
      <c r="C15" s="44">
        <f>O8-C4</f>
        <v>-4.7258902977535797</v>
      </c>
    </row>
    <row r="16" spans="2:18" ht="15.75" thickBot="1" x14ac:dyDescent="0.3"/>
    <row r="17" spans="2:34" x14ac:dyDescent="0.25">
      <c r="B17" t="s">
        <v>96</v>
      </c>
      <c r="C17" s="223">
        <v>-45</v>
      </c>
      <c r="E17" s="205" t="s">
        <v>94</v>
      </c>
      <c r="F17" s="206"/>
      <c r="G17" s="207"/>
      <c r="H17" s="202" t="s">
        <v>95</v>
      </c>
      <c r="I17" s="203"/>
      <c r="J17" s="204"/>
      <c r="K17" s="202" t="s">
        <v>102</v>
      </c>
      <c r="L17" s="203"/>
      <c r="M17" s="204"/>
      <c r="N17" s="201" t="s">
        <v>1</v>
      </c>
      <c r="O17" s="130"/>
      <c r="P17" s="130"/>
      <c r="Q17" s="131" t="s">
        <v>2</v>
      </c>
      <c r="R17" s="131"/>
      <c r="S17" s="132" t="s">
        <v>3</v>
      </c>
      <c r="T17" s="132"/>
      <c r="U17" s="132"/>
      <c r="V17" s="133" t="s">
        <v>4</v>
      </c>
      <c r="W17" s="133"/>
      <c r="X17" s="131" t="s">
        <v>16</v>
      </c>
      <c r="Y17" s="131"/>
      <c r="Z17" s="131"/>
      <c r="AA17" s="131"/>
      <c r="AB17" s="131"/>
      <c r="AC17" s="131"/>
      <c r="AD17" s="131"/>
      <c r="AE17" s="131"/>
      <c r="AF17" s="131"/>
      <c r="AG17" s="131"/>
      <c r="AH17" s="131"/>
    </row>
    <row r="18" spans="2:34" ht="15.75" thickBot="1" x14ac:dyDescent="0.3">
      <c r="B18" t="s">
        <v>97</v>
      </c>
      <c r="C18" s="223">
        <v>45</v>
      </c>
      <c r="E18" s="208" t="s">
        <v>32</v>
      </c>
      <c r="F18" s="209" t="s">
        <v>90</v>
      </c>
      <c r="G18" s="210" t="s">
        <v>35</v>
      </c>
      <c r="H18" s="211" t="s">
        <v>91</v>
      </c>
      <c r="I18" s="212" t="s">
        <v>92</v>
      </c>
      <c r="J18" s="213" t="s">
        <v>93</v>
      </c>
      <c r="K18" s="211" t="s">
        <v>91</v>
      </c>
      <c r="L18" s="212" t="s">
        <v>92</v>
      </c>
      <c r="M18" s="213" t="s">
        <v>93</v>
      </c>
      <c r="N18" s="214" t="s">
        <v>6</v>
      </c>
      <c r="O18" s="215" t="s">
        <v>7</v>
      </c>
      <c r="P18" s="216" t="s">
        <v>8</v>
      </c>
      <c r="Q18" s="228" t="s">
        <v>9</v>
      </c>
      <c r="R18" s="229" t="s">
        <v>10</v>
      </c>
      <c r="S18" s="214" t="s">
        <v>6</v>
      </c>
      <c r="T18" s="215" t="s">
        <v>7</v>
      </c>
      <c r="U18" s="217" t="s">
        <v>8</v>
      </c>
      <c r="V18" s="230" t="s">
        <v>11</v>
      </c>
      <c r="W18" s="231" t="s">
        <v>12</v>
      </c>
      <c r="X18" s="218" t="s">
        <v>18</v>
      </c>
      <c r="Y18" s="218"/>
      <c r="Z18" s="234" t="s">
        <v>19</v>
      </c>
      <c r="AA18" s="215" t="s">
        <v>20</v>
      </c>
      <c r="AB18" s="215" t="s">
        <v>21</v>
      </c>
      <c r="AC18" s="215" t="s">
        <v>22</v>
      </c>
      <c r="AD18" s="219" t="s">
        <v>23</v>
      </c>
      <c r="AE18" s="220" t="s">
        <v>24</v>
      </c>
      <c r="AF18" s="220"/>
      <c r="AG18" s="221" t="s">
        <v>25</v>
      </c>
      <c r="AH18" s="221"/>
    </row>
    <row r="19" spans="2:34" x14ac:dyDescent="0.25">
      <c r="B19" t="s">
        <v>98</v>
      </c>
      <c r="C19" s="223">
        <v>-40</v>
      </c>
      <c r="E19" s="225">
        <v>135</v>
      </c>
      <c r="F19" s="225">
        <v>-15</v>
      </c>
      <c r="G19" s="225">
        <v>0</v>
      </c>
      <c r="H19" s="232">
        <f>R19</f>
        <v>-106</v>
      </c>
      <c r="I19" s="232">
        <f>$C$3 - AF19 - Y19</f>
        <v>-65.114085659918601</v>
      </c>
      <c r="J19" s="232">
        <f>AH19-$C$4</f>
        <v>-4.7258902977535797</v>
      </c>
      <c r="K19" s="68">
        <f>MEDIAN($C$17,H19,$C$18)</f>
        <v>-45</v>
      </c>
      <c r="L19" s="68">
        <f>MEDIAN($C$19,I19,$C$20)</f>
        <v>-40</v>
      </c>
      <c r="M19" s="68">
        <f>MEDIAN($C$21,J19,$C$22)</f>
        <v>-4.7258902977535797</v>
      </c>
      <c r="N19" s="226">
        <f>E19*COS(RADIANS($C$2)) + G19*SIN(RADIANS($C$2))</f>
        <v>-37.211043035294871</v>
      </c>
      <c r="O19" s="226">
        <f>F19</f>
        <v>-15</v>
      </c>
      <c r="P19" s="226">
        <f>-E19*SIN(RADIANS($C$2)) + G19*COS(RADIANS($C$2))</f>
        <v>-129.77032895167304</v>
      </c>
      <c r="Q19" s="227">
        <f>ATAN2(N19, P19)</f>
        <v>-1.8500490071139892</v>
      </c>
      <c r="R19" s="227">
        <f>DEGREES(Q19)</f>
        <v>-106</v>
      </c>
      <c r="S19" s="236">
        <f>N19*COS(Q19) + P19*SIN(Q19)</f>
        <v>134.99999999999997</v>
      </c>
      <c r="T19" s="236">
        <f>O19</f>
        <v>-15</v>
      </c>
      <c r="U19" s="236">
        <f>-N19*SIN(Q19) + P19*COS(Q19)</f>
        <v>0</v>
      </c>
      <c r="V19" s="237">
        <f>S19-$C$5</f>
        <v>118.99999999999997</v>
      </c>
      <c r="W19" s="237">
        <f>T19</f>
        <v>-15</v>
      </c>
      <c r="X19" s="235">
        <f>ATAN2(V19, W19)</f>
        <v>-0.12538912034151628</v>
      </c>
      <c r="Y19" s="235">
        <f>DEGREES(X19)</f>
        <v>-7.1842673924268627</v>
      </c>
      <c r="Z19" s="235">
        <f>SQRT(V19*V19+W19*W19)</f>
        <v>119.9416524815295</v>
      </c>
      <c r="AA19" s="238" t="str">
        <f>IF($C$6 + $C$7 &gt;Z19, "TRUE", "FALSE")</f>
        <v>TRUE</v>
      </c>
      <c r="AB19" s="235">
        <f>$C$6*$C$6</f>
        <v>6724</v>
      </c>
      <c r="AC19" s="235">
        <f>$C$7*$C$7</f>
        <v>15129</v>
      </c>
      <c r="AD19" s="236">
        <f>Z19*Z19</f>
        <v>14385.999999999993</v>
      </c>
      <c r="AE19" s="235">
        <f>ACOS(MEDIAN(-1, (AB19 + AD19 - AC19) / (2 * $C$6 * Z19), 1))</f>
        <v>1.2618443045327206</v>
      </c>
      <c r="AF19" s="235">
        <f>DEGREES(AE19)</f>
        <v>72.298353052345462</v>
      </c>
      <c r="AG19" s="236">
        <f>ACOS(MEDIAN(-1,(AC19 + AB19 - AD19) / (2 * $C$7 * $C$6),1))</f>
        <v>1.1916080081720055</v>
      </c>
      <c r="AH19" s="235">
        <f>DEGREES(AG19)</f>
        <v>68.27410970224642</v>
      </c>
    </row>
    <row r="20" spans="2:34" x14ac:dyDescent="0.25">
      <c r="B20" t="s">
        <v>99</v>
      </c>
      <c r="C20" s="223">
        <v>40</v>
      </c>
      <c r="E20" s="222">
        <v>34</v>
      </c>
      <c r="F20" s="223">
        <v>1</v>
      </c>
      <c r="G20" s="224">
        <v>115</v>
      </c>
      <c r="H20" s="232">
        <f>R20</f>
        <v>-32.470428439608582</v>
      </c>
      <c r="I20" s="232">
        <f>$C$3 - AF20 - Y20</f>
        <v>-82.471555491819032</v>
      </c>
      <c r="J20" s="232">
        <f>AH20-$C$4</f>
        <v>-16.223833994661661</v>
      </c>
      <c r="K20" s="68">
        <f t="shared" ref="K20:K83" si="0">MEDIAN($C$17,H20,$C$18)</f>
        <v>-32.470428439608582</v>
      </c>
      <c r="L20" s="68">
        <f t="shared" ref="L20:L83" si="1">MEDIAN($C$19,I20,$C$20)</f>
        <v>-40</v>
      </c>
      <c r="M20" s="68">
        <f t="shared" ref="M20:M83" si="2">MEDIAN($C$21,J20,$C$22)</f>
        <v>-13</v>
      </c>
      <c r="N20" s="226">
        <f>E20*COS(RADIANS($C$2)) + G20*SIN(RADIANS($C$2))</f>
        <v>101.17342493512871</v>
      </c>
      <c r="O20" s="226">
        <f>F20</f>
        <v>1</v>
      </c>
      <c r="P20" s="226">
        <f>-E20*SIN(RADIANS($C$2)) + G20*COS(RADIANS($C$2))</f>
        <v>-64.38119358085774</v>
      </c>
      <c r="Q20" s="227">
        <f t="shared" ref="Q20:Q83" si="3">ATAN2(N20, P20)</f>
        <v>-0.56671588580437449</v>
      </c>
      <c r="R20" s="227">
        <f t="shared" ref="R20:R83" si="4">DEGREES(Q20)</f>
        <v>-32.470428439608582</v>
      </c>
      <c r="S20" s="236">
        <f t="shared" ref="S20:S83" si="5">N20*COS(Q20) + P20*SIN(Q20)</f>
        <v>119.92080720208649</v>
      </c>
      <c r="T20" s="236">
        <f t="shared" ref="T20:T83" si="6">O20</f>
        <v>1</v>
      </c>
      <c r="U20" s="236">
        <f t="shared" ref="U20:U83" si="7">-N20*SIN(Q20) + P20*COS(Q20)</f>
        <v>0</v>
      </c>
      <c r="V20" s="237">
        <f t="shared" ref="V20:V83" si="8">S20-$C$5</f>
        <v>103.92080720208649</v>
      </c>
      <c r="W20" s="237">
        <f t="shared" ref="W20:W83" si="9">T20</f>
        <v>1</v>
      </c>
      <c r="X20" s="235">
        <f t="shared" ref="X20:X83" si="10">ATAN2(V20, W20)</f>
        <v>9.6224150207120246E-3</v>
      </c>
      <c r="Y20" s="235">
        <f t="shared" ref="Y20:Y83" si="11">DEGREES(X20)</f>
        <v>0.55132376941008765</v>
      </c>
      <c r="Z20" s="235">
        <f t="shared" ref="Z20:Z83" si="12">SQRT(V20*V20+W20*W20)</f>
        <v>103.92561844672002</v>
      </c>
      <c r="AA20" s="238" t="str">
        <f t="shared" ref="AA20:AA83" si="13">IF($C$6 + $C$7 &gt;Z20, "TRUE", "FALSE")</f>
        <v>TRUE</v>
      </c>
      <c r="AB20" s="235">
        <f t="shared" ref="AB20:AB83" si="14">$C$6*$C$6</f>
        <v>6724</v>
      </c>
      <c r="AC20" s="235">
        <f t="shared" ref="AC20:AC83" si="15">$C$7*$C$7</f>
        <v>15129</v>
      </c>
      <c r="AD20" s="236">
        <f t="shared" ref="AD20:AD83" si="16">Z20*Z20</f>
        <v>10800.534169533234</v>
      </c>
      <c r="AE20" s="235">
        <f t="shared" ref="AE20:AE83" si="17">ACOS(MEDIAN(-1, (AB20 + AD20 - AC20) / (2 * $C$6 * Z20), 1))</f>
        <v>1.4297777675527414</v>
      </c>
      <c r="AF20" s="235">
        <f t="shared" ref="AF20:AF83" si="18">DEGREES(AE20)</f>
        <v>81.920231722408943</v>
      </c>
      <c r="AG20" s="236">
        <f t="shared" ref="AG20:AG83" si="19">ACOS(MEDIAN(-1,(AC20 + AB20 - AD20) / (2 * $C$7 * $C$6),1))</f>
        <v>0.99093103345203049</v>
      </c>
      <c r="AH20" s="235">
        <f t="shared" ref="AH20:AH83" si="20">DEGREES(AG20)</f>
        <v>56.776166005338339</v>
      </c>
    </row>
    <row r="21" spans="2:34" x14ac:dyDescent="0.25">
      <c r="B21" t="s">
        <v>100</v>
      </c>
      <c r="C21" s="223">
        <v>-13</v>
      </c>
      <c r="E21" s="222">
        <v>34</v>
      </c>
      <c r="F21" s="223">
        <v>3</v>
      </c>
      <c r="G21" s="224">
        <v>115</v>
      </c>
      <c r="H21" s="232">
        <f>R21</f>
        <v>-32.470428439608582</v>
      </c>
      <c r="I21" s="232">
        <f>$C$3 - AF21 - Y21</f>
        <v>-83.54965178605643</v>
      </c>
      <c r="J21" s="232">
        <f>AH21-$C$4</f>
        <v>-16.196675143948433</v>
      </c>
      <c r="K21" s="68">
        <f t="shared" si="0"/>
        <v>-32.470428439608582</v>
      </c>
      <c r="L21" s="68">
        <f t="shared" si="1"/>
        <v>-40</v>
      </c>
      <c r="M21" s="68">
        <f t="shared" si="2"/>
        <v>-13</v>
      </c>
      <c r="N21" s="226">
        <f>E21*COS(RADIANS($C$2)) + G21*SIN(RADIANS($C$2))</f>
        <v>101.17342493512871</v>
      </c>
      <c r="O21" s="226">
        <f>F21</f>
        <v>3</v>
      </c>
      <c r="P21" s="226">
        <f>-E21*SIN(RADIANS($C$2)) + G21*COS(RADIANS($C$2))</f>
        <v>-64.38119358085774</v>
      </c>
      <c r="Q21" s="227">
        <f t="shared" si="3"/>
        <v>-0.56671588580437449</v>
      </c>
      <c r="R21" s="227">
        <f t="shared" si="4"/>
        <v>-32.470428439608582</v>
      </c>
      <c r="S21" s="236">
        <f t="shared" si="5"/>
        <v>119.92080720208649</v>
      </c>
      <c r="T21" s="236">
        <f t="shared" si="6"/>
        <v>3</v>
      </c>
      <c r="U21" s="236">
        <f t="shared" si="7"/>
        <v>0</v>
      </c>
      <c r="V21" s="237">
        <f t="shared" si="8"/>
        <v>103.92080720208649</v>
      </c>
      <c r="W21" s="237">
        <f t="shared" si="9"/>
        <v>3</v>
      </c>
      <c r="X21" s="235">
        <f t="shared" si="10"/>
        <v>2.8860120777775448E-2</v>
      </c>
      <c r="Y21" s="235">
        <f t="shared" si="11"/>
        <v>1.6535631168043479</v>
      </c>
      <c r="Z21" s="235">
        <f t="shared" si="12"/>
        <v>103.96410038822647</v>
      </c>
      <c r="AA21" s="238" t="str">
        <f t="shared" si="13"/>
        <v>TRUE</v>
      </c>
      <c r="AB21" s="235">
        <f t="shared" si="14"/>
        <v>6724</v>
      </c>
      <c r="AC21" s="235">
        <f t="shared" si="15"/>
        <v>15129</v>
      </c>
      <c r="AD21" s="236">
        <f t="shared" si="16"/>
        <v>10808.534169533232</v>
      </c>
      <c r="AE21" s="235">
        <f t="shared" si="17"/>
        <v>1.4293563917836702</v>
      </c>
      <c r="AF21" s="235">
        <f t="shared" si="18"/>
        <v>81.89608866925208</v>
      </c>
      <c r="AG21" s="236">
        <f t="shared" si="19"/>
        <v>0.99140504481803382</v>
      </c>
      <c r="AH21" s="235">
        <f t="shared" si="20"/>
        <v>56.803324856051567</v>
      </c>
    </row>
    <row r="22" spans="2:34" x14ac:dyDescent="0.25">
      <c r="B22" t="s">
        <v>101</v>
      </c>
      <c r="C22" s="223">
        <v>45</v>
      </c>
      <c r="E22" s="222">
        <v>34</v>
      </c>
      <c r="F22" s="223">
        <v>4</v>
      </c>
      <c r="G22" s="224">
        <v>115</v>
      </c>
      <c r="H22" s="232">
        <f>R22</f>
        <v>-32.470428439608582</v>
      </c>
      <c r="I22" s="232">
        <f>$C$3 - AF22 - Y22</f>
        <v>-84.079251044123168</v>
      </c>
      <c r="J22" s="232">
        <f>AH22-$C$4</f>
        <v>-16.172918057551684</v>
      </c>
      <c r="K22" s="68">
        <f t="shared" si="0"/>
        <v>-32.470428439608582</v>
      </c>
      <c r="L22" s="68">
        <f t="shared" si="1"/>
        <v>-40</v>
      </c>
      <c r="M22" s="68">
        <f t="shared" si="2"/>
        <v>-13</v>
      </c>
      <c r="N22" s="226">
        <f>E22*COS(RADIANS($C$2)) + G22*SIN(RADIANS($C$2))</f>
        <v>101.17342493512871</v>
      </c>
      <c r="O22" s="226">
        <f>F22</f>
        <v>4</v>
      </c>
      <c r="P22" s="226">
        <f>-E22*SIN(RADIANS($C$2)) + G22*COS(RADIANS($C$2))</f>
        <v>-64.38119358085774</v>
      </c>
      <c r="Q22" s="227">
        <f t="shared" si="3"/>
        <v>-0.56671588580437449</v>
      </c>
      <c r="R22" s="227">
        <f t="shared" si="4"/>
        <v>-32.470428439608582</v>
      </c>
      <c r="S22" s="236">
        <f t="shared" si="5"/>
        <v>119.92080720208649</v>
      </c>
      <c r="T22" s="236">
        <f t="shared" si="6"/>
        <v>4</v>
      </c>
      <c r="U22" s="236">
        <f t="shared" si="7"/>
        <v>0</v>
      </c>
      <c r="V22" s="237">
        <f t="shared" si="8"/>
        <v>103.92080720208649</v>
      </c>
      <c r="W22" s="237">
        <f t="shared" si="9"/>
        <v>4</v>
      </c>
      <c r="X22" s="235">
        <f t="shared" si="10"/>
        <v>3.8471856290579635E-2</v>
      </c>
      <c r="Y22" s="235">
        <f t="shared" si="11"/>
        <v>2.2042749954840399</v>
      </c>
      <c r="Z22" s="235">
        <f t="shared" si="12"/>
        <v>103.99776040633391</v>
      </c>
      <c r="AA22" s="238" t="str">
        <f t="shared" si="13"/>
        <v>TRUE</v>
      </c>
      <c r="AB22" s="235">
        <f t="shared" si="14"/>
        <v>6724</v>
      </c>
      <c r="AC22" s="235">
        <f t="shared" si="15"/>
        <v>15129</v>
      </c>
      <c r="AD22" s="236">
        <f t="shared" si="16"/>
        <v>10815.534169533234</v>
      </c>
      <c r="AE22" s="235">
        <f t="shared" si="17"/>
        <v>1.4289879070402498</v>
      </c>
      <c r="AF22" s="235">
        <f t="shared" si="18"/>
        <v>81.874976048639127</v>
      </c>
      <c r="AG22" s="236">
        <f t="shared" si="19"/>
        <v>0.99181968419633793</v>
      </c>
      <c r="AH22" s="235">
        <f t="shared" si="20"/>
        <v>56.827081942448316</v>
      </c>
    </row>
    <row r="23" spans="2:34" x14ac:dyDescent="0.25">
      <c r="E23" s="222">
        <v>34</v>
      </c>
      <c r="F23" s="223">
        <v>6</v>
      </c>
      <c r="G23" s="224">
        <v>115</v>
      </c>
      <c r="H23" s="232">
        <f>R23</f>
        <v>-32.470428439608582</v>
      </c>
      <c r="I23" s="232">
        <f>$C$3 - AF23 - Y23</f>
        <v>-85.119094932072912</v>
      </c>
      <c r="J23" s="232">
        <f>AH23-$C$4</f>
        <v>-16.105076109012259</v>
      </c>
      <c r="K23" s="68">
        <f t="shared" si="0"/>
        <v>-32.470428439608582</v>
      </c>
      <c r="L23" s="68">
        <f t="shared" si="1"/>
        <v>-40</v>
      </c>
      <c r="M23" s="68">
        <f t="shared" si="2"/>
        <v>-13</v>
      </c>
      <c r="N23" s="226">
        <f>E23*COS(RADIANS($C$2)) + G23*SIN(RADIANS($C$2))</f>
        <v>101.17342493512871</v>
      </c>
      <c r="O23" s="226">
        <f>F23</f>
        <v>6</v>
      </c>
      <c r="P23" s="226">
        <f>-E23*SIN(RADIANS($C$2)) + G23*COS(RADIANS($C$2))</f>
        <v>-64.38119358085774</v>
      </c>
      <c r="Q23" s="227">
        <f t="shared" si="3"/>
        <v>-0.56671588580437449</v>
      </c>
      <c r="R23" s="227">
        <f t="shared" si="4"/>
        <v>-32.470428439608582</v>
      </c>
      <c r="S23" s="236">
        <f t="shared" si="5"/>
        <v>119.92080720208649</v>
      </c>
      <c r="T23" s="236">
        <f t="shared" si="6"/>
        <v>6</v>
      </c>
      <c r="U23" s="236">
        <f t="shared" si="7"/>
        <v>0</v>
      </c>
      <c r="V23" s="237">
        <f t="shared" si="8"/>
        <v>103.92080720208649</v>
      </c>
      <c r="W23" s="237">
        <f t="shared" si="9"/>
        <v>6</v>
      </c>
      <c r="X23" s="235">
        <f t="shared" si="10"/>
        <v>5.7672245914449444E-2</v>
      </c>
      <c r="Y23" s="235">
        <f t="shared" si="11"/>
        <v>3.3043762859385581</v>
      </c>
      <c r="Z23" s="235">
        <f t="shared" si="12"/>
        <v>104.09387191152624</v>
      </c>
      <c r="AA23" s="238" t="str">
        <f t="shared" si="13"/>
        <v>TRUE</v>
      </c>
      <c r="AB23" s="235">
        <f t="shared" si="14"/>
        <v>6724</v>
      </c>
      <c r="AC23" s="235">
        <f t="shared" si="15"/>
        <v>15129</v>
      </c>
      <c r="AD23" s="236">
        <f t="shared" si="16"/>
        <v>10835.53416953323</v>
      </c>
      <c r="AE23" s="235">
        <f t="shared" si="17"/>
        <v>1.427936216967842</v>
      </c>
      <c r="AF23" s="235">
        <f t="shared" si="18"/>
        <v>81.814718646134352</v>
      </c>
      <c r="AG23" s="236">
        <f t="shared" si="19"/>
        <v>0.99300374956931947</v>
      </c>
      <c r="AH23" s="235">
        <f t="shared" si="20"/>
        <v>56.894923890987741</v>
      </c>
    </row>
    <row r="24" spans="2:34" x14ac:dyDescent="0.25">
      <c r="E24" s="222">
        <v>34</v>
      </c>
      <c r="F24" s="223">
        <v>7</v>
      </c>
      <c r="G24" s="224">
        <v>115</v>
      </c>
      <c r="H24" s="232">
        <f>R24</f>
        <v>-32.470428439608582</v>
      </c>
      <c r="I24" s="232">
        <f>$C$3 - AF24 - Y24</f>
        <v>-85.629166676915403</v>
      </c>
      <c r="J24" s="232">
        <f>AH24-$C$4</f>
        <v>-16.061006921045184</v>
      </c>
      <c r="K24" s="68">
        <f t="shared" si="0"/>
        <v>-32.470428439608582</v>
      </c>
      <c r="L24" s="68">
        <f t="shared" si="1"/>
        <v>-40</v>
      </c>
      <c r="M24" s="68">
        <f t="shared" si="2"/>
        <v>-13</v>
      </c>
      <c r="N24" s="226">
        <f>E24*COS(RADIANS($C$2)) + G24*SIN(RADIANS($C$2))</f>
        <v>101.17342493512871</v>
      </c>
      <c r="O24" s="226">
        <f>F24</f>
        <v>7</v>
      </c>
      <c r="P24" s="226">
        <f>-E24*SIN(RADIANS($C$2)) + G24*COS(RADIANS($C$2))</f>
        <v>-64.38119358085774</v>
      </c>
      <c r="Q24" s="227">
        <f t="shared" si="3"/>
        <v>-0.56671588580437449</v>
      </c>
      <c r="R24" s="227">
        <f t="shared" si="4"/>
        <v>-32.470428439608582</v>
      </c>
      <c r="S24" s="236">
        <f t="shared" si="5"/>
        <v>119.92080720208649</v>
      </c>
      <c r="T24" s="236">
        <f t="shared" si="6"/>
        <v>7</v>
      </c>
      <c r="U24" s="236">
        <f t="shared" si="7"/>
        <v>0</v>
      </c>
      <c r="V24" s="237">
        <f t="shared" si="8"/>
        <v>103.92080720208649</v>
      </c>
      <c r="W24" s="237">
        <f t="shared" si="9"/>
        <v>7</v>
      </c>
      <c r="X24" s="235">
        <f t="shared" si="10"/>
        <v>6.7257386078740045E-2</v>
      </c>
      <c r="Y24" s="235">
        <f t="shared" si="11"/>
        <v>3.8535643633937422</v>
      </c>
      <c r="Z24" s="235">
        <f t="shared" si="12"/>
        <v>104.15629683093208</v>
      </c>
      <c r="AA24" s="238" t="str">
        <f t="shared" si="13"/>
        <v>TRUE</v>
      </c>
      <c r="AB24" s="235">
        <f t="shared" si="14"/>
        <v>6724</v>
      </c>
      <c r="AC24" s="235">
        <f t="shared" si="15"/>
        <v>15129</v>
      </c>
      <c r="AD24" s="236">
        <f t="shared" si="16"/>
        <v>10848.534169533232</v>
      </c>
      <c r="AE24" s="235">
        <f t="shared" si="17"/>
        <v>1.4272535081724451</v>
      </c>
      <c r="AF24" s="235">
        <f t="shared" si="18"/>
        <v>81.775602313521659</v>
      </c>
      <c r="AG24" s="236">
        <f t="shared" si="19"/>
        <v>0.99377290199802515</v>
      </c>
      <c r="AH24" s="235">
        <f t="shared" si="20"/>
        <v>56.938993078954816</v>
      </c>
    </row>
    <row r="25" spans="2:34" x14ac:dyDescent="0.25">
      <c r="E25" s="222">
        <v>34</v>
      </c>
      <c r="F25" s="223">
        <v>9</v>
      </c>
      <c r="G25" s="224">
        <v>115</v>
      </c>
      <c r="H25" s="232">
        <f>R25</f>
        <v>-32.470428439608582</v>
      </c>
      <c r="I25" s="232">
        <f>$C$3 - AF25 - Y25</f>
        <v>-86.629203108444244</v>
      </c>
      <c r="J25" s="232">
        <f>AH25-$C$4</f>
        <v>-15.952622749189764</v>
      </c>
      <c r="K25" s="68">
        <f t="shared" si="0"/>
        <v>-32.470428439608582</v>
      </c>
      <c r="L25" s="68">
        <f t="shared" si="1"/>
        <v>-40</v>
      </c>
      <c r="M25" s="68">
        <f t="shared" si="2"/>
        <v>-13</v>
      </c>
      <c r="N25" s="226">
        <f>E25*COS(RADIANS($C$2)) + G25*SIN(RADIANS($C$2))</f>
        <v>101.17342493512871</v>
      </c>
      <c r="O25" s="226">
        <f>F25</f>
        <v>9</v>
      </c>
      <c r="P25" s="226">
        <f>-E25*SIN(RADIANS($C$2)) + G25*COS(RADIANS($C$2))</f>
        <v>-64.38119358085774</v>
      </c>
      <c r="Q25" s="227">
        <f t="shared" si="3"/>
        <v>-0.56671588580437449</v>
      </c>
      <c r="R25" s="227">
        <f t="shared" si="4"/>
        <v>-32.470428439608582</v>
      </c>
      <c r="S25" s="236">
        <f t="shared" si="5"/>
        <v>119.92080720208649</v>
      </c>
      <c r="T25" s="236">
        <f t="shared" si="6"/>
        <v>9</v>
      </c>
      <c r="U25" s="236">
        <f t="shared" si="7"/>
        <v>0</v>
      </c>
      <c r="V25" s="237">
        <f t="shared" si="8"/>
        <v>103.92080720208649</v>
      </c>
      <c r="W25" s="237">
        <f t="shared" si="9"/>
        <v>9</v>
      </c>
      <c r="X25" s="235">
        <f t="shared" si="10"/>
        <v>8.6388856963161079E-2</v>
      </c>
      <c r="Y25" s="235">
        <f t="shared" si="11"/>
        <v>4.9497169009484834</v>
      </c>
      <c r="Z25" s="235">
        <f t="shared" si="12"/>
        <v>104.30979901012768</v>
      </c>
      <c r="AA25" s="238" t="str">
        <f t="shared" si="13"/>
        <v>TRUE</v>
      </c>
      <c r="AB25" s="235">
        <f t="shared" si="14"/>
        <v>6724</v>
      </c>
      <c r="AC25" s="235">
        <f t="shared" si="15"/>
        <v>15129</v>
      </c>
      <c r="AD25" s="236">
        <f t="shared" si="16"/>
        <v>10880.534169533234</v>
      </c>
      <c r="AE25" s="235">
        <f t="shared" si="17"/>
        <v>1.4255759656580973</v>
      </c>
      <c r="AF25" s="235">
        <f t="shared" si="18"/>
        <v>81.679486207495756</v>
      </c>
      <c r="AG25" s="236">
        <f t="shared" si="19"/>
        <v>0.99566456265394965</v>
      </c>
      <c r="AH25" s="235">
        <f t="shared" si="20"/>
        <v>57.047377250810236</v>
      </c>
    </row>
    <row r="26" spans="2:34" x14ac:dyDescent="0.25">
      <c r="E26" s="222">
        <v>34</v>
      </c>
      <c r="F26" s="223">
        <v>10</v>
      </c>
      <c r="G26" s="224">
        <v>115</v>
      </c>
      <c r="H26" s="232">
        <f>R26</f>
        <v>-32.470428439608582</v>
      </c>
      <c r="I26" s="232">
        <f>$C$3 - AF26 - Y26</f>
        <v>-87.119015622124792</v>
      </c>
      <c r="J26" s="232">
        <f>AH26-$C$4</f>
        <v>-15.888332509357816</v>
      </c>
      <c r="K26" s="68">
        <f t="shared" si="0"/>
        <v>-32.470428439608582</v>
      </c>
      <c r="L26" s="68">
        <f t="shared" si="1"/>
        <v>-40</v>
      </c>
      <c r="M26" s="68">
        <f t="shared" si="2"/>
        <v>-13</v>
      </c>
      <c r="N26" s="226">
        <f>E26*COS(RADIANS($C$2)) + G26*SIN(RADIANS($C$2))</f>
        <v>101.17342493512871</v>
      </c>
      <c r="O26" s="226">
        <f>F26</f>
        <v>10</v>
      </c>
      <c r="P26" s="226">
        <f>-E26*SIN(RADIANS($C$2)) + G26*COS(RADIANS($C$2))</f>
        <v>-64.38119358085774</v>
      </c>
      <c r="Q26" s="227">
        <f t="shared" si="3"/>
        <v>-0.56671588580437449</v>
      </c>
      <c r="R26" s="227">
        <f t="shared" si="4"/>
        <v>-32.470428439608582</v>
      </c>
      <c r="S26" s="236">
        <f t="shared" si="5"/>
        <v>119.92080720208649</v>
      </c>
      <c r="T26" s="236">
        <f t="shared" si="6"/>
        <v>10</v>
      </c>
      <c r="U26" s="236">
        <f t="shared" si="7"/>
        <v>0</v>
      </c>
      <c r="V26" s="237">
        <f t="shared" si="8"/>
        <v>103.92080720208649</v>
      </c>
      <c r="W26" s="237">
        <f t="shared" si="9"/>
        <v>10</v>
      </c>
      <c r="X26" s="235">
        <f t="shared" si="10"/>
        <v>9.5931749339163458E-2</v>
      </c>
      <c r="Y26" s="235">
        <f t="shared" si="11"/>
        <v>5.4964843584409904</v>
      </c>
      <c r="Z26" s="235">
        <f t="shared" si="12"/>
        <v>104.40083414194176</v>
      </c>
      <c r="AA26" s="238" t="str">
        <f t="shared" si="13"/>
        <v>TRUE</v>
      </c>
      <c r="AB26" s="235">
        <f t="shared" si="14"/>
        <v>6724</v>
      </c>
      <c r="AC26" s="235">
        <f t="shared" si="15"/>
        <v>15129</v>
      </c>
      <c r="AD26" s="236">
        <f t="shared" si="16"/>
        <v>10899.534169533232</v>
      </c>
      <c r="AE26" s="235">
        <f t="shared" si="17"/>
        <v>1.4245819143632903</v>
      </c>
      <c r="AF26" s="235">
        <f t="shared" si="18"/>
        <v>81.622531263683797</v>
      </c>
      <c r="AG26" s="236">
        <f t="shared" si="19"/>
        <v>0.99678663901591391</v>
      </c>
      <c r="AH26" s="235">
        <f t="shared" si="20"/>
        <v>57.111667490642184</v>
      </c>
    </row>
    <row r="27" spans="2:34" x14ac:dyDescent="0.25">
      <c r="E27" s="222">
        <v>34</v>
      </c>
      <c r="F27" s="223">
        <v>12</v>
      </c>
      <c r="G27" s="224">
        <v>115</v>
      </c>
      <c r="H27" s="232">
        <f>R27</f>
        <v>-32.470428439608582</v>
      </c>
      <c r="I27" s="232">
        <f>$C$3 - AF27 - Y27</f>
        <v>-88.077875664406307</v>
      </c>
      <c r="J27" s="232">
        <f>AH27-$C$4</f>
        <v>-15.739628509016825</v>
      </c>
      <c r="K27" s="68">
        <f t="shared" si="0"/>
        <v>-32.470428439608582</v>
      </c>
      <c r="L27" s="68">
        <f t="shared" si="1"/>
        <v>-40</v>
      </c>
      <c r="M27" s="68">
        <f t="shared" si="2"/>
        <v>-13</v>
      </c>
      <c r="N27" s="226">
        <f>E27*COS(RADIANS($C$2)) + G27*SIN(RADIANS($C$2))</f>
        <v>101.17342493512871</v>
      </c>
      <c r="O27" s="226">
        <f>F27</f>
        <v>12</v>
      </c>
      <c r="P27" s="226">
        <f>-E27*SIN(RADIANS($C$2)) + G27*COS(RADIANS($C$2))</f>
        <v>-64.38119358085774</v>
      </c>
      <c r="Q27" s="227">
        <f t="shared" si="3"/>
        <v>-0.56671588580437449</v>
      </c>
      <c r="R27" s="227">
        <f t="shared" si="4"/>
        <v>-32.470428439608582</v>
      </c>
      <c r="S27" s="236">
        <f t="shared" si="5"/>
        <v>119.92080720208649</v>
      </c>
      <c r="T27" s="236">
        <f t="shared" si="6"/>
        <v>12</v>
      </c>
      <c r="U27" s="236">
        <f t="shared" si="7"/>
        <v>0</v>
      </c>
      <c r="V27" s="237">
        <f t="shared" si="8"/>
        <v>103.92080720208649</v>
      </c>
      <c r="W27" s="237">
        <f t="shared" si="9"/>
        <v>12</v>
      </c>
      <c r="X27" s="235">
        <f t="shared" si="10"/>
        <v>0.11496337806621855</v>
      </c>
      <c r="Y27" s="235">
        <f t="shared" si="11"/>
        <v>6.5869163617611823</v>
      </c>
      <c r="Z27" s="235">
        <f t="shared" si="12"/>
        <v>104.61134818715048</v>
      </c>
      <c r="AA27" s="238" t="str">
        <f t="shared" si="13"/>
        <v>TRUE</v>
      </c>
      <c r="AB27" s="235">
        <f t="shared" si="14"/>
        <v>6724</v>
      </c>
      <c r="AC27" s="235">
        <f t="shared" si="15"/>
        <v>15129</v>
      </c>
      <c r="AD27" s="236">
        <f t="shared" si="16"/>
        <v>10943.534169533232</v>
      </c>
      <c r="AE27" s="235">
        <f t="shared" si="17"/>
        <v>1.4222855504398597</v>
      </c>
      <c r="AF27" s="235">
        <f t="shared" si="18"/>
        <v>81.490959302645123</v>
      </c>
      <c r="AG27" s="236">
        <f t="shared" si="19"/>
        <v>0.99938201343275102</v>
      </c>
      <c r="AH27" s="235">
        <f t="shared" si="20"/>
        <v>57.260371490983175</v>
      </c>
    </row>
    <row r="28" spans="2:34" x14ac:dyDescent="0.25">
      <c r="E28" s="222">
        <v>34</v>
      </c>
      <c r="F28" s="223">
        <v>13</v>
      </c>
      <c r="G28" s="224">
        <v>115</v>
      </c>
      <c r="H28" s="232">
        <f>R28</f>
        <v>-32.470428439608582</v>
      </c>
      <c r="I28" s="232">
        <f>$C$3 - AF28 - Y28</f>
        <v>-88.54679266801503</v>
      </c>
      <c r="J28" s="232">
        <f>AH28-$C$4</f>
        <v>-15.655248110726987</v>
      </c>
      <c r="K28" s="68">
        <f t="shared" si="0"/>
        <v>-32.470428439608582</v>
      </c>
      <c r="L28" s="68">
        <f t="shared" si="1"/>
        <v>-40</v>
      </c>
      <c r="M28" s="68">
        <f t="shared" si="2"/>
        <v>-13</v>
      </c>
      <c r="N28" s="226">
        <f>E28*COS(RADIANS($C$2)) + G28*SIN(RADIANS($C$2))</f>
        <v>101.17342493512871</v>
      </c>
      <c r="O28" s="226">
        <f>F28</f>
        <v>13</v>
      </c>
      <c r="P28" s="226">
        <f>-E28*SIN(RADIANS($C$2)) + G28*COS(RADIANS($C$2))</f>
        <v>-64.38119358085774</v>
      </c>
      <c r="Q28" s="227">
        <f t="shared" si="3"/>
        <v>-0.56671588580437449</v>
      </c>
      <c r="R28" s="227">
        <f t="shared" si="4"/>
        <v>-32.470428439608582</v>
      </c>
      <c r="S28" s="236">
        <f t="shared" si="5"/>
        <v>119.92080720208649</v>
      </c>
      <c r="T28" s="236">
        <f t="shared" si="6"/>
        <v>13</v>
      </c>
      <c r="U28" s="236">
        <f t="shared" si="7"/>
        <v>0</v>
      </c>
      <c r="V28" s="237">
        <f t="shared" si="8"/>
        <v>103.92080720208649</v>
      </c>
      <c r="W28" s="237">
        <f t="shared" si="9"/>
        <v>13</v>
      </c>
      <c r="X28" s="235">
        <f t="shared" si="10"/>
        <v>0.12444878415311887</v>
      </c>
      <c r="Y28" s="235">
        <f t="shared" si="11"/>
        <v>7.1303900975082719</v>
      </c>
      <c r="Z28" s="235">
        <f t="shared" si="12"/>
        <v>104.73076992714812</v>
      </c>
      <c r="AA28" s="238" t="str">
        <f t="shared" si="13"/>
        <v>TRUE</v>
      </c>
      <c r="AB28" s="235">
        <f t="shared" si="14"/>
        <v>6724</v>
      </c>
      <c r="AC28" s="235">
        <f t="shared" si="15"/>
        <v>15129</v>
      </c>
      <c r="AD28" s="236">
        <f t="shared" si="16"/>
        <v>10968.534169533232</v>
      </c>
      <c r="AE28" s="235">
        <f t="shared" si="17"/>
        <v>1.4209842899845178</v>
      </c>
      <c r="AF28" s="235">
        <f t="shared" si="18"/>
        <v>81.416402570506762</v>
      </c>
      <c r="AG28" s="236">
        <f t="shared" si="19"/>
        <v>1.0008547292070529</v>
      </c>
      <c r="AH28" s="235">
        <f t="shared" si="20"/>
        <v>57.344751889273013</v>
      </c>
    </row>
    <row r="29" spans="2:34" x14ac:dyDescent="0.25">
      <c r="E29" s="222">
        <v>34</v>
      </c>
      <c r="F29" s="223">
        <v>15</v>
      </c>
      <c r="G29" s="224">
        <v>115</v>
      </c>
      <c r="H29" s="232">
        <f>R29</f>
        <v>-32.470428439608582</v>
      </c>
      <c r="I29" s="232">
        <f>$C$3 - AF29 - Y29</f>
        <v>-89.463301924986283</v>
      </c>
      <c r="J29" s="232">
        <f>AH29-$C$4</f>
        <v>-15.466524141126186</v>
      </c>
      <c r="K29" s="68">
        <f t="shared" si="0"/>
        <v>-32.470428439608582</v>
      </c>
      <c r="L29" s="68">
        <f t="shared" si="1"/>
        <v>-40</v>
      </c>
      <c r="M29" s="68">
        <f t="shared" si="2"/>
        <v>-13</v>
      </c>
      <c r="N29" s="226">
        <f>E29*COS(RADIANS($C$2)) + G29*SIN(RADIANS($C$2))</f>
        <v>101.17342493512871</v>
      </c>
      <c r="O29" s="226">
        <f>F29</f>
        <v>15</v>
      </c>
      <c r="P29" s="226">
        <f>-E29*SIN(RADIANS($C$2)) + G29*COS(RADIANS($C$2))</f>
        <v>-64.38119358085774</v>
      </c>
      <c r="Q29" s="227">
        <f t="shared" si="3"/>
        <v>-0.56671588580437449</v>
      </c>
      <c r="R29" s="227">
        <f t="shared" si="4"/>
        <v>-32.470428439608582</v>
      </c>
      <c r="S29" s="236">
        <f t="shared" si="5"/>
        <v>119.92080720208649</v>
      </c>
      <c r="T29" s="236">
        <f t="shared" si="6"/>
        <v>15</v>
      </c>
      <c r="U29" s="236">
        <f t="shared" si="7"/>
        <v>0</v>
      </c>
      <c r="V29" s="237">
        <f t="shared" si="8"/>
        <v>103.92080720208649</v>
      </c>
      <c r="W29" s="237">
        <f t="shared" si="9"/>
        <v>15</v>
      </c>
      <c r="X29" s="235">
        <f t="shared" si="10"/>
        <v>0.14335061829229948</v>
      </c>
      <c r="Y29" s="235">
        <f t="shared" si="11"/>
        <v>8.213385418739616</v>
      </c>
      <c r="Z29" s="235">
        <f t="shared" si="12"/>
        <v>104.99778173625018</v>
      </c>
      <c r="AA29" s="238" t="str">
        <f t="shared" si="13"/>
        <v>TRUE</v>
      </c>
      <c r="AB29" s="235">
        <f t="shared" si="14"/>
        <v>6724</v>
      </c>
      <c r="AC29" s="235">
        <f t="shared" si="15"/>
        <v>15129</v>
      </c>
      <c r="AD29" s="236">
        <f t="shared" si="16"/>
        <v>11024.534169533232</v>
      </c>
      <c r="AE29" s="235">
        <f t="shared" si="17"/>
        <v>1.4180785600044921</v>
      </c>
      <c r="AF29" s="235">
        <f t="shared" si="18"/>
        <v>81.249916506246663</v>
      </c>
      <c r="AG29" s="236">
        <f t="shared" si="19"/>
        <v>1.0041485838540205</v>
      </c>
      <c r="AH29" s="235">
        <f t="shared" si="20"/>
        <v>57.533475858873814</v>
      </c>
    </row>
    <row r="30" spans="2:34" x14ac:dyDescent="0.25">
      <c r="E30" s="222">
        <v>34</v>
      </c>
      <c r="F30" s="223">
        <v>16</v>
      </c>
      <c r="G30" s="224">
        <v>115</v>
      </c>
      <c r="H30" s="232">
        <f>R30</f>
        <v>-32.470428439608582</v>
      </c>
      <c r="I30" s="232">
        <f>$C$3 - AF30 - Y30</f>
        <v>-89.910785795233721</v>
      </c>
      <c r="J30" s="232">
        <f>AH30-$C$4</f>
        <v>-15.362221950102011</v>
      </c>
      <c r="K30" s="68">
        <f t="shared" si="0"/>
        <v>-32.470428439608582</v>
      </c>
      <c r="L30" s="68">
        <f t="shared" si="1"/>
        <v>-40</v>
      </c>
      <c r="M30" s="68">
        <f t="shared" si="2"/>
        <v>-13</v>
      </c>
      <c r="N30" s="226">
        <f>E30*COS(RADIANS($C$2)) + G30*SIN(RADIANS($C$2))</f>
        <v>101.17342493512871</v>
      </c>
      <c r="O30" s="226">
        <f>F30</f>
        <v>16</v>
      </c>
      <c r="P30" s="226">
        <f>-E30*SIN(RADIANS($C$2)) + G30*COS(RADIANS($C$2))</f>
        <v>-64.38119358085774</v>
      </c>
      <c r="Q30" s="227">
        <f t="shared" si="3"/>
        <v>-0.56671588580437449</v>
      </c>
      <c r="R30" s="227">
        <f t="shared" si="4"/>
        <v>-32.470428439608582</v>
      </c>
      <c r="S30" s="236">
        <f t="shared" si="5"/>
        <v>119.92080720208649</v>
      </c>
      <c r="T30" s="236">
        <f t="shared" si="6"/>
        <v>16</v>
      </c>
      <c r="U30" s="236">
        <f t="shared" si="7"/>
        <v>0</v>
      </c>
      <c r="V30" s="237">
        <f t="shared" si="8"/>
        <v>103.92080720208649</v>
      </c>
      <c r="W30" s="237">
        <f t="shared" si="9"/>
        <v>16</v>
      </c>
      <c r="X30" s="235">
        <f t="shared" si="10"/>
        <v>0.15276385404556964</v>
      </c>
      <c r="Y30" s="235">
        <f t="shared" si="11"/>
        <v>8.7527240989636468</v>
      </c>
      <c r="Z30" s="235">
        <f t="shared" si="12"/>
        <v>105.1453002731612</v>
      </c>
      <c r="AA30" s="238" t="str">
        <f t="shared" si="13"/>
        <v>TRUE</v>
      </c>
      <c r="AB30" s="235">
        <f t="shared" si="14"/>
        <v>6724</v>
      </c>
      <c r="AC30" s="235">
        <f t="shared" si="15"/>
        <v>15129</v>
      </c>
      <c r="AD30" s="236">
        <f t="shared" si="16"/>
        <v>11055.534169533232</v>
      </c>
      <c r="AE30" s="235">
        <f t="shared" si="17"/>
        <v>1.4164753911366068</v>
      </c>
      <c r="AF30" s="235">
        <f t="shared" si="18"/>
        <v>81.158061696270067</v>
      </c>
      <c r="AG30" s="236">
        <f t="shared" si="19"/>
        <v>1.0059690005044364</v>
      </c>
      <c r="AH30" s="235">
        <f t="shared" si="20"/>
        <v>57.637778049897989</v>
      </c>
    </row>
    <row r="31" spans="2:34" x14ac:dyDescent="0.25">
      <c r="E31" s="222">
        <v>34</v>
      </c>
      <c r="F31" s="223">
        <v>18</v>
      </c>
      <c r="G31" s="224">
        <v>115</v>
      </c>
      <c r="H31" s="232">
        <f>R31</f>
        <v>-32.470428439608582</v>
      </c>
      <c r="I31" s="232">
        <f>$C$3 - AF31 - Y31</f>
        <v>-90.783968859043156</v>
      </c>
      <c r="J31" s="232">
        <f>AH31-$C$4</f>
        <v>-15.133849946264142</v>
      </c>
      <c r="K31" s="68">
        <f t="shared" si="0"/>
        <v>-32.470428439608582</v>
      </c>
      <c r="L31" s="68">
        <f t="shared" si="1"/>
        <v>-40</v>
      </c>
      <c r="M31" s="68">
        <f t="shared" si="2"/>
        <v>-13</v>
      </c>
      <c r="N31" s="226">
        <f>E31*COS(RADIANS($C$2)) + G31*SIN(RADIANS($C$2))</f>
        <v>101.17342493512871</v>
      </c>
      <c r="O31" s="226">
        <f>F31</f>
        <v>18</v>
      </c>
      <c r="P31" s="226">
        <f>-E31*SIN(RADIANS($C$2)) + G31*COS(RADIANS($C$2))</f>
        <v>-64.38119358085774</v>
      </c>
      <c r="Q31" s="227">
        <f t="shared" si="3"/>
        <v>-0.56671588580437449</v>
      </c>
      <c r="R31" s="227">
        <f t="shared" si="4"/>
        <v>-32.470428439608582</v>
      </c>
      <c r="S31" s="236">
        <f t="shared" si="5"/>
        <v>119.92080720208649</v>
      </c>
      <c r="T31" s="236">
        <f t="shared" si="6"/>
        <v>18</v>
      </c>
      <c r="U31" s="236">
        <f t="shared" si="7"/>
        <v>0</v>
      </c>
      <c r="V31" s="237">
        <f t="shared" si="8"/>
        <v>103.92080720208649</v>
      </c>
      <c r="W31" s="237">
        <f t="shared" si="9"/>
        <v>18</v>
      </c>
      <c r="X31" s="235">
        <f t="shared" si="10"/>
        <v>0.1715071806997841</v>
      </c>
      <c r="Y31" s="235">
        <f t="shared" si="11"/>
        <v>9.8266376102851982</v>
      </c>
      <c r="Z31" s="235">
        <f t="shared" si="12"/>
        <v>105.46816661691447</v>
      </c>
      <c r="AA31" s="238" t="str">
        <f t="shared" si="13"/>
        <v>TRUE</v>
      </c>
      <c r="AB31" s="235">
        <f t="shared" si="14"/>
        <v>6724</v>
      </c>
      <c r="AC31" s="235">
        <f t="shared" si="15"/>
        <v>15129</v>
      </c>
      <c r="AD31" s="236">
        <f t="shared" si="16"/>
        <v>11123.534169533232</v>
      </c>
      <c r="AE31" s="235">
        <f t="shared" si="17"/>
        <v>1.4129719839185189</v>
      </c>
      <c r="AF31" s="235">
        <f t="shared" si="18"/>
        <v>80.957331248757953</v>
      </c>
      <c r="AG31" s="236">
        <f t="shared" si="19"/>
        <v>1.0099548438907844</v>
      </c>
      <c r="AH31" s="235">
        <f t="shared" si="20"/>
        <v>57.866150053735858</v>
      </c>
    </row>
    <row r="32" spans="2:34" x14ac:dyDescent="0.25">
      <c r="E32" s="222">
        <v>34</v>
      </c>
      <c r="F32" s="223">
        <v>19</v>
      </c>
      <c r="G32" s="224">
        <v>115</v>
      </c>
      <c r="H32" s="232">
        <f>R32</f>
        <v>-32.470428439608582</v>
      </c>
      <c r="I32" s="232">
        <f>$C$3 - AF32 - Y32</f>
        <v>-91.209581873036626</v>
      </c>
      <c r="J32" s="232">
        <f>AH32-$C$4</f>
        <v>-15.009828801660461</v>
      </c>
      <c r="K32" s="68">
        <f t="shared" si="0"/>
        <v>-32.470428439608582</v>
      </c>
      <c r="L32" s="68">
        <f t="shared" si="1"/>
        <v>-40</v>
      </c>
      <c r="M32" s="68">
        <f t="shared" si="2"/>
        <v>-13</v>
      </c>
      <c r="N32" s="226">
        <f>E32*COS(RADIANS($C$2)) + G32*SIN(RADIANS($C$2))</f>
        <v>101.17342493512871</v>
      </c>
      <c r="O32" s="226">
        <f>F32</f>
        <v>19</v>
      </c>
      <c r="P32" s="226">
        <f>-E32*SIN(RADIANS($C$2)) + G32*COS(RADIANS($C$2))</f>
        <v>-64.38119358085774</v>
      </c>
      <c r="Q32" s="227">
        <f t="shared" si="3"/>
        <v>-0.56671588580437449</v>
      </c>
      <c r="R32" s="227">
        <f t="shared" si="4"/>
        <v>-32.470428439608582</v>
      </c>
      <c r="S32" s="236">
        <f t="shared" si="5"/>
        <v>119.92080720208649</v>
      </c>
      <c r="T32" s="236">
        <f t="shared" si="6"/>
        <v>19</v>
      </c>
      <c r="U32" s="236">
        <f t="shared" si="7"/>
        <v>0</v>
      </c>
      <c r="V32" s="237">
        <f t="shared" si="8"/>
        <v>103.92080720208649</v>
      </c>
      <c r="W32" s="237">
        <f t="shared" si="9"/>
        <v>19</v>
      </c>
      <c r="X32" s="235">
        <f t="shared" si="10"/>
        <v>0.18083424393039813</v>
      </c>
      <c r="Y32" s="235">
        <f t="shared" si="11"/>
        <v>10.361038968651036</v>
      </c>
      <c r="Z32" s="235">
        <f t="shared" si="12"/>
        <v>105.64342937226731</v>
      </c>
      <c r="AA32" s="238" t="str">
        <f t="shared" si="13"/>
        <v>TRUE</v>
      </c>
      <c r="AB32" s="235">
        <f t="shared" si="14"/>
        <v>6724</v>
      </c>
      <c r="AC32" s="235">
        <f t="shared" si="15"/>
        <v>15129</v>
      </c>
      <c r="AD32" s="236">
        <f t="shared" si="16"/>
        <v>11160.53416953323</v>
      </c>
      <c r="AE32" s="235">
        <f t="shared" si="17"/>
        <v>1.4110732691214276</v>
      </c>
      <c r="AF32" s="235">
        <f t="shared" si="18"/>
        <v>80.848542904385596</v>
      </c>
      <c r="AG32" s="236">
        <f t="shared" si="19"/>
        <v>1.0121194212062106</v>
      </c>
      <c r="AH32" s="235">
        <f t="shared" si="20"/>
        <v>57.990171198339539</v>
      </c>
    </row>
    <row r="33" spans="5:34" x14ac:dyDescent="0.25">
      <c r="E33" s="222">
        <v>34</v>
      </c>
      <c r="F33" s="223">
        <v>21</v>
      </c>
      <c r="G33" s="224">
        <v>115</v>
      </c>
      <c r="H33" s="232">
        <f>R33</f>
        <v>-32.470428439608582</v>
      </c>
      <c r="I33" s="232">
        <f>$C$3 - AF33 - Y33</f>
        <v>-92.038662895674975</v>
      </c>
      <c r="J33" s="232">
        <f>AH33-$C$4</f>
        <v>-14.742246217373392</v>
      </c>
      <c r="K33" s="68">
        <f t="shared" si="0"/>
        <v>-32.470428439608582</v>
      </c>
      <c r="L33" s="68">
        <f t="shared" si="1"/>
        <v>-40</v>
      </c>
      <c r="M33" s="68">
        <f t="shared" si="2"/>
        <v>-13</v>
      </c>
      <c r="N33" s="226">
        <f>E33*COS(RADIANS($C$2)) + G33*SIN(RADIANS($C$2))</f>
        <v>101.17342493512871</v>
      </c>
      <c r="O33" s="226">
        <f>F33</f>
        <v>21</v>
      </c>
      <c r="P33" s="226">
        <f>-E33*SIN(RADIANS($C$2)) + G33*COS(RADIANS($C$2))</f>
        <v>-64.38119358085774</v>
      </c>
      <c r="Q33" s="227">
        <f t="shared" si="3"/>
        <v>-0.56671588580437449</v>
      </c>
      <c r="R33" s="227">
        <f t="shared" si="4"/>
        <v>-32.470428439608582</v>
      </c>
      <c r="S33" s="236">
        <f t="shared" si="5"/>
        <v>119.92080720208649</v>
      </c>
      <c r="T33" s="236">
        <f t="shared" si="6"/>
        <v>21</v>
      </c>
      <c r="U33" s="236">
        <f t="shared" si="7"/>
        <v>0</v>
      </c>
      <c r="V33" s="237">
        <f t="shared" si="8"/>
        <v>103.92080720208649</v>
      </c>
      <c r="W33" s="237">
        <f t="shared" si="9"/>
        <v>21</v>
      </c>
      <c r="X33" s="235">
        <f t="shared" si="10"/>
        <v>0.19939182937889963</v>
      </c>
      <c r="Y33" s="235">
        <f t="shared" si="11"/>
        <v>11.424310292803563</v>
      </c>
      <c r="Z33" s="235">
        <f t="shared" si="12"/>
        <v>106.02138543488871</v>
      </c>
      <c r="AA33" s="238" t="str">
        <f t="shared" si="13"/>
        <v>TRUE</v>
      </c>
      <c r="AB33" s="235">
        <f t="shared" si="14"/>
        <v>6724</v>
      </c>
      <c r="AC33" s="235">
        <f t="shared" si="15"/>
        <v>15129</v>
      </c>
      <c r="AD33" s="236">
        <f t="shared" si="16"/>
        <v>11240.534169533234</v>
      </c>
      <c r="AE33" s="235">
        <f t="shared" si="17"/>
        <v>1.4069858772837669</v>
      </c>
      <c r="AF33" s="235">
        <f t="shared" si="18"/>
        <v>80.614352602871406</v>
      </c>
      <c r="AG33" s="236">
        <f t="shared" si="19"/>
        <v>1.0167896183230152</v>
      </c>
      <c r="AH33" s="235">
        <f t="shared" si="20"/>
        <v>58.257753782626608</v>
      </c>
    </row>
    <row r="34" spans="5:34" x14ac:dyDescent="0.25">
      <c r="E34" s="222">
        <v>34</v>
      </c>
      <c r="F34" s="223">
        <v>22</v>
      </c>
      <c r="G34" s="224">
        <v>115</v>
      </c>
      <c r="H34" s="232">
        <f>R34</f>
        <v>-32.470428439608582</v>
      </c>
      <c r="I34" s="232">
        <f>$C$3 - AF34 - Y34</f>
        <v>-92.442066582546275</v>
      </c>
      <c r="J34" s="232">
        <f>AH34-$C$4</f>
        <v>-14.598739894965185</v>
      </c>
      <c r="K34" s="68">
        <f t="shared" si="0"/>
        <v>-32.470428439608582</v>
      </c>
      <c r="L34" s="68">
        <f t="shared" si="1"/>
        <v>-40</v>
      </c>
      <c r="M34" s="68">
        <f t="shared" si="2"/>
        <v>-13</v>
      </c>
      <c r="N34" s="226">
        <f>E34*COS(RADIANS($C$2)) + G34*SIN(RADIANS($C$2))</f>
        <v>101.17342493512871</v>
      </c>
      <c r="O34" s="226">
        <f>F34</f>
        <v>22</v>
      </c>
      <c r="P34" s="226">
        <f>-E34*SIN(RADIANS($C$2)) + G34*COS(RADIANS($C$2))</f>
        <v>-64.38119358085774</v>
      </c>
      <c r="Q34" s="227">
        <f t="shared" si="3"/>
        <v>-0.56671588580437449</v>
      </c>
      <c r="R34" s="227">
        <f t="shared" si="4"/>
        <v>-32.470428439608582</v>
      </c>
      <c r="S34" s="236">
        <f t="shared" si="5"/>
        <v>119.92080720208649</v>
      </c>
      <c r="T34" s="236">
        <f t="shared" si="6"/>
        <v>22</v>
      </c>
      <c r="U34" s="236">
        <f t="shared" si="7"/>
        <v>0</v>
      </c>
      <c r="V34" s="237">
        <f t="shared" si="8"/>
        <v>103.92080720208649</v>
      </c>
      <c r="W34" s="237">
        <f t="shared" si="9"/>
        <v>22</v>
      </c>
      <c r="X34" s="235">
        <f t="shared" si="10"/>
        <v>0.20861951150444003</v>
      </c>
      <c r="Y34" s="235">
        <f t="shared" si="11"/>
        <v>11.953017533285337</v>
      </c>
      <c r="Z34" s="235">
        <f t="shared" si="12"/>
        <v>106.22398114142226</v>
      </c>
      <c r="AA34" s="238" t="str">
        <f t="shared" si="13"/>
        <v>TRUE</v>
      </c>
      <c r="AB34" s="235">
        <f t="shared" si="14"/>
        <v>6724</v>
      </c>
      <c r="AC34" s="235">
        <f t="shared" si="15"/>
        <v>15129</v>
      </c>
      <c r="AD34" s="236">
        <f t="shared" si="16"/>
        <v>11283.534169533232</v>
      </c>
      <c r="AE34" s="235">
        <f t="shared" si="17"/>
        <v>1.4047989177088149</v>
      </c>
      <c r="AF34" s="235">
        <f t="shared" si="18"/>
        <v>80.489049049260942</v>
      </c>
      <c r="AG34" s="236">
        <f t="shared" si="19"/>
        <v>1.0192942761464669</v>
      </c>
      <c r="AH34" s="235">
        <f t="shared" si="20"/>
        <v>58.401260105034815</v>
      </c>
    </row>
    <row r="35" spans="5:34" x14ac:dyDescent="0.25">
      <c r="E35" s="222">
        <v>34</v>
      </c>
      <c r="F35" s="223">
        <v>24</v>
      </c>
      <c r="G35" s="224">
        <v>115</v>
      </c>
      <c r="H35" s="232">
        <f>R35</f>
        <v>-32.470428439608582</v>
      </c>
      <c r="I35" s="232">
        <f>$C$3 - AF35 - Y35</f>
        <v>-93.226466188993555</v>
      </c>
      <c r="J35" s="232">
        <f>AH35-$C$4</f>
        <v>-14.292442168547666</v>
      </c>
      <c r="K35" s="68">
        <f t="shared" si="0"/>
        <v>-32.470428439608582</v>
      </c>
      <c r="L35" s="68">
        <f t="shared" si="1"/>
        <v>-40</v>
      </c>
      <c r="M35" s="68">
        <f t="shared" si="2"/>
        <v>-13</v>
      </c>
      <c r="N35" s="226">
        <f>E35*COS(RADIANS($C$2)) + G35*SIN(RADIANS($C$2))</f>
        <v>101.17342493512871</v>
      </c>
      <c r="O35" s="226">
        <f>F35</f>
        <v>24</v>
      </c>
      <c r="P35" s="226">
        <f>-E35*SIN(RADIANS($C$2)) + G35*COS(RADIANS($C$2))</f>
        <v>-64.38119358085774</v>
      </c>
      <c r="Q35" s="227">
        <f t="shared" si="3"/>
        <v>-0.56671588580437449</v>
      </c>
      <c r="R35" s="227">
        <f t="shared" si="4"/>
        <v>-32.470428439608582</v>
      </c>
      <c r="S35" s="236">
        <f t="shared" si="5"/>
        <v>119.92080720208649</v>
      </c>
      <c r="T35" s="236">
        <f t="shared" si="6"/>
        <v>24</v>
      </c>
      <c r="U35" s="236">
        <f t="shared" si="7"/>
        <v>0</v>
      </c>
      <c r="V35" s="237">
        <f t="shared" si="8"/>
        <v>103.92080720208649</v>
      </c>
      <c r="W35" s="237">
        <f t="shared" si="9"/>
        <v>24</v>
      </c>
      <c r="X35" s="235">
        <f t="shared" si="10"/>
        <v>0.22696580751832804</v>
      </c>
      <c r="Y35" s="235">
        <f t="shared" si="11"/>
        <v>13.004182864578805</v>
      </c>
      <c r="Z35" s="235">
        <f t="shared" si="12"/>
        <v>106.65614923450607</v>
      </c>
      <c r="AA35" s="238" t="str">
        <f t="shared" si="13"/>
        <v>TRUE</v>
      </c>
      <c r="AB35" s="235">
        <f t="shared" si="14"/>
        <v>6724</v>
      </c>
      <c r="AC35" s="235">
        <f t="shared" si="15"/>
        <v>15129</v>
      </c>
      <c r="AD35" s="236">
        <f t="shared" si="16"/>
        <v>11375.53416953323</v>
      </c>
      <c r="AE35" s="235">
        <f t="shared" si="17"/>
        <v>1.4001429774787797</v>
      </c>
      <c r="AF35" s="235">
        <f t="shared" si="18"/>
        <v>80.222283324414747</v>
      </c>
      <c r="AG35" s="236">
        <f t="shared" si="19"/>
        <v>1.0246401799638254</v>
      </c>
      <c r="AH35" s="235">
        <f t="shared" si="20"/>
        <v>58.707557831452334</v>
      </c>
    </row>
    <row r="36" spans="5:34" x14ac:dyDescent="0.25">
      <c r="E36" s="222">
        <v>34</v>
      </c>
      <c r="F36" s="223">
        <v>25</v>
      </c>
      <c r="G36" s="224">
        <v>115</v>
      </c>
      <c r="H36" s="232">
        <f>R36</f>
        <v>-32.470428439608582</v>
      </c>
      <c r="I36" s="232">
        <f>$C$3 - AF36 - Y36</f>
        <v>-93.607418928619779</v>
      </c>
      <c r="J36" s="232">
        <f>AH36-$C$4</f>
        <v>-14.129711406472573</v>
      </c>
      <c r="K36" s="68">
        <f t="shared" si="0"/>
        <v>-32.470428439608582</v>
      </c>
      <c r="L36" s="68">
        <f t="shared" si="1"/>
        <v>-40</v>
      </c>
      <c r="M36" s="68">
        <f t="shared" si="2"/>
        <v>-13</v>
      </c>
      <c r="N36" s="226">
        <f>E36*COS(RADIANS($C$2)) + G36*SIN(RADIANS($C$2))</f>
        <v>101.17342493512871</v>
      </c>
      <c r="O36" s="226">
        <f>F36</f>
        <v>25</v>
      </c>
      <c r="P36" s="226">
        <f>-E36*SIN(RADIANS($C$2)) + G36*COS(RADIANS($C$2))</f>
        <v>-64.38119358085774</v>
      </c>
      <c r="Q36" s="227">
        <f t="shared" si="3"/>
        <v>-0.56671588580437449</v>
      </c>
      <c r="R36" s="227">
        <f t="shared" si="4"/>
        <v>-32.470428439608582</v>
      </c>
      <c r="S36" s="236">
        <f t="shared" si="5"/>
        <v>119.92080720208649</v>
      </c>
      <c r="T36" s="236">
        <f t="shared" si="6"/>
        <v>25</v>
      </c>
      <c r="U36" s="236">
        <f t="shared" si="7"/>
        <v>0</v>
      </c>
      <c r="V36" s="237">
        <f t="shared" si="8"/>
        <v>103.92080720208649</v>
      </c>
      <c r="W36" s="237">
        <f t="shared" si="9"/>
        <v>25</v>
      </c>
      <c r="X36" s="235">
        <f t="shared" si="10"/>
        <v>0.23608178778527086</v>
      </c>
      <c r="Y36" s="235">
        <f t="shared" si="11"/>
        <v>13.526490059999171</v>
      </c>
      <c r="Z36" s="235">
        <f t="shared" si="12"/>
        <v>106.8856125469337</v>
      </c>
      <c r="AA36" s="238" t="str">
        <f t="shared" si="13"/>
        <v>TRUE</v>
      </c>
      <c r="AB36" s="235">
        <f t="shared" si="14"/>
        <v>6724</v>
      </c>
      <c r="AC36" s="235">
        <f t="shared" si="15"/>
        <v>15129</v>
      </c>
      <c r="AD36" s="236">
        <f t="shared" si="16"/>
        <v>11424.53416953323</v>
      </c>
      <c r="AE36" s="235">
        <f t="shared" si="17"/>
        <v>1.397675876812807</v>
      </c>
      <c r="AF36" s="235">
        <f t="shared" si="18"/>
        <v>80.080928868620603</v>
      </c>
      <c r="AG36" s="236">
        <f t="shared" si="19"/>
        <v>1.0274803675563153</v>
      </c>
      <c r="AH36" s="235">
        <f t="shared" si="20"/>
        <v>58.870288593527427</v>
      </c>
    </row>
    <row r="37" spans="5:34" x14ac:dyDescent="0.25">
      <c r="E37" s="222">
        <v>34</v>
      </c>
      <c r="F37" s="223">
        <v>27</v>
      </c>
      <c r="G37" s="224">
        <v>115</v>
      </c>
      <c r="H37" s="232">
        <f>R37</f>
        <v>-32.470428439608582</v>
      </c>
      <c r="I37" s="232">
        <f>$C$3 - AF37 - Y37</f>
        <v>-94.34674780434419</v>
      </c>
      <c r="J37" s="232">
        <f>AH37-$C$4</f>
        <v>-13.785243657028303</v>
      </c>
      <c r="K37" s="68">
        <f t="shared" si="0"/>
        <v>-32.470428439608582</v>
      </c>
      <c r="L37" s="68">
        <f t="shared" si="1"/>
        <v>-40</v>
      </c>
      <c r="M37" s="68">
        <f t="shared" si="2"/>
        <v>-13</v>
      </c>
      <c r="N37" s="226">
        <f>E37*COS(RADIANS($C$2)) + G37*SIN(RADIANS($C$2))</f>
        <v>101.17342493512871</v>
      </c>
      <c r="O37" s="226">
        <f>F37</f>
        <v>27</v>
      </c>
      <c r="P37" s="226">
        <f>-E37*SIN(RADIANS($C$2)) + G37*COS(RADIANS($C$2))</f>
        <v>-64.38119358085774</v>
      </c>
      <c r="Q37" s="227">
        <f t="shared" si="3"/>
        <v>-0.56671588580437449</v>
      </c>
      <c r="R37" s="227">
        <f t="shared" si="4"/>
        <v>-32.470428439608582</v>
      </c>
      <c r="S37" s="236">
        <f t="shared" si="5"/>
        <v>119.92080720208649</v>
      </c>
      <c r="T37" s="236">
        <f t="shared" si="6"/>
        <v>27</v>
      </c>
      <c r="U37" s="236">
        <f t="shared" si="7"/>
        <v>0</v>
      </c>
      <c r="V37" s="237">
        <f t="shared" si="8"/>
        <v>103.92080720208649</v>
      </c>
      <c r="W37" s="237">
        <f t="shared" si="9"/>
        <v>27</v>
      </c>
      <c r="X37" s="235">
        <f t="shared" si="10"/>
        <v>0.25419310153939556</v>
      </c>
      <c r="Y37" s="235">
        <f t="shared" si="11"/>
        <v>14.564191899547755</v>
      </c>
      <c r="Z37" s="235">
        <f t="shared" si="12"/>
        <v>107.37101177474874</v>
      </c>
      <c r="AA37" s="238" t="str">
        <f t="shared" si="13"/>
        <v>TRUE</v>
      </c>
      <c r="AB37" s="235">
        <f t="shared" si="14"/>
        <v>6724</v>
      </c>
      <c r="AC37" s="235">
        <f t="shared" si="15"/>
        <v>15129</v>
      </c>
      <c r="AD37" s="236">
        <f t="shared" si="16"/>
        <v>11528.534169533232</v>
      </c>
      <c r="AE37" s="235">
        <f t="shared" si="17"/>
        <v>1.3924682861951414</v>
      </c>
      <c r="AF37" s="235">
        <f t="shared" si="18"/>
        <v>79.782555904796439</v>
      </c>
      <c r="AG37" s="236">
        <f t="shared" si="19"/>
        <v>1.0334924639510528</v>
      </c>
      <c r="AH37" s="235">
        <f t="shared" si="20"/>
        <v>59.214756342971697</v>
      </c>
    </row>
    <row r="38" spans="5:34" x14ac:dyDescent="0.25">
      <c r="E38" s="222">
        <v>34</v>
      </c>
      <c r="F38" s="223">
        <v>28</v>
      </c>
      <c r="G38" s="224">
        <v>115</v>
      </c>
      <c r="H38" s="232">
        <f>R38</f>
        <v>-32.470428439608582</v>
      </c>
      <c r="I38" s="232">
        <f>$C$3 - AF38 - Y38</f>
        <v>-94.70510086280494</v>
      </c>
      <c r="J38" s="232">
        <f>AH38-$C$4</f>
        <v>-13.603571850097943</v>
      </c>
      <c r="K38" s="68">
        <f t="shared" si="0"/>
        <v>-32.470428439608582</v>
      </c>
      <c r="L38" s="68">
        <f t="shared" si="1"/>
        <v>-40</v>
      </c>
      <c r="M38" s="68">
        <f t="shared" si="2"/>
        <v>-13</v>
      </c>
      <c r="N38" s="226">
        <f>E38*COS(RADIANS($C$2)) + G38*SIN(RADIANS($C$2))</f>
        <v>101.17342493512871</v>
      </c>
      <c r="O38" s="226">
        <f>F38</f>
        <v>28</v>
      </c>
      <c r="P38" s="226">
        <f>-E38*SIN(RADIANS($C$2)) + G38*COS(RADIANS($C$2))</f>
        <v>-64.38119358085774</v>
      </c>
      <c r="Q38" s="227">
        <f t="shared" si="3"/>
        <v>-0.56671588580437449</v>
      </c>
      <c r="R38" s="227">
        <f t="shared" si="4"/>
        <v>-32.470428439608582</v>
      </c>
      <c r="S38" s="236">
        <f t="shared" si="5"/>
        <v>119.92080720208649</v>
      </c>
      <c r="T38" s="236">
        <f t="shared" si="6"/>
        <v>28</v>
      </c>
      <c r="U38" s="236">
        <f t="shared" si="7"/>
        <v>0</v>
      </c>
      <c r="V38" s="237">
        <f t="shared" si="8"/>
        <v>103.92080720208649</v>
      </c>
      <c r="W38" s="237">
        <f t="shared" si="9"/>
        <v>28</v>
      </c>
      <c r="X38" s="235">
        <f t="shared" si="10"/>
        <v>0.26318602252537465</v>
      </c>
      <c r="Y38" s="235">
        <f t="shared" si="11"/>
        <v>15.079448317538985</v>
      </c>
      <c r="Z38" s="235">
        <f t="shared" si="12"/>
        <v>107.62682829821397</v>
      </c>
      <c r="AA38" s="238" t="str">
        <f t="shared" si="13"/>
        <v>TRUE</v>
      </c>
      <c r="AB38" s="235">
        <f t="shared" si="14"/>
        <v>6724</v>
      </c>
      <c r="AC38" s="235">
        <f t="shared" si="15"/>
        <v>15129</v>
      </c>
      <c r="AD38" s="236">
        <f t="shared" si="16"/>
        <v>11583.53416953323</v>
      </c>
      <c r="AE38" s="235">
        <f t="shared" si="17"/>
        <v>1.3897298059638941</v>
      </c>
      <c r="AF38" s="235">
        <f t="shared" si="18"/>
        <v>79.62565254526595</v>
      </c>
      <c r="AG38" s="236">
        <f t="shared" si="19"/>
        <v>1.0366632351400349</v>
      </c>
      <c r="AH38" s="235">
        <f t="shared" si="20"/>
        <v>59.396428149902057</v>
      </c>
    </row>
    <row r="39" spans="5:34" x14ac:dyDescent="0.25">
      <c r="E39" s="222">
        <v>34</v>
      </c>
      <c r="F39" s="223">
        <v>30</v>
      </c>
      <c r="G39" s="224">
        <v>115</v>
      </c>
      <c r="H39" s="232">
        <f>R39</f>
        <v>-32.470428439608582</v>
      </c>
      <c r="I39" s="232">
        <f>$C$3 - AF39 - Y39</f>
        <v>-95.399150433585078</v>
      </c>
      <c r="J39" s="232">
        <f>AH39-$C$4</f>
        <v>-13.221520017698317</v>
      </c>
      <c r="K39" s="68">
        <f t="shared" si="0"/>
        <v>-32.470428439608582</v>
      </c>
      <c r="L39" s="68">
        <f t="shared" si="1"/>
        <v>-40</v>
      </c>
      <c r="M39" s="68">
        <f t="shared" si="2"/>
        <v>-13</v>
      </c>
      <c r="N39" s="226">
        <f>E39*COS(RADIANS($C$2)) + G39*SIN(RADIANS($C$2))</f>
        <v>101.17342493512871</v>
      </c>
      <c r="O39" s="226">
        <f>F39</f>
        <v>30</v>
      </c>
      <c r="P39" s="226">
        <f>-E39*SIN(RADIANS($C$2)) + G39*COS(RADIANS($C$2))</f>
        <v>-64.38119358085774</v>
      </c>
      <c r="Q39" s="227">
        <f t="shared" si="3"/>
        <v>-0.56671588580437449</v>
      </c>
      <c r="R39" s="227">
        <f t="shared" si="4"/>
        <v>-32.470428439608582</v>
      </c>
      <c r="S39" s="236">
        <f t="shared" si="5"/>
        <v>119.92080720208649</v>
      </c>
      <c r="T39" s="236">
        <f t="shared" si="6"/>
        <v>30</v>
      </c>
      <c r="U39" s="236">
        <f t="shared" si="7"/>
        <v>0</v>
      </c>
      <c r="V39" s="237">
        <f t="shared" si="8"/>
        <v>103.92080720208649</v>
      </c>
      <c r="W39" s="237">
        <f t="shared" si="9"/>
        <v>30</v>
      </c>
      <c r="X39" s="235">
        <f t="shared" si="10"/>
        <v>0.28104064841733856</v>
      </c>
      <c r="Y39" s="235">
        <f t="shared" si="11"/>
        <v>16.102443025933518</v>
      </c>
      <c r="Z39" s="235">
        <f t="shared" si="12"/>
        <v>108.16438494039168</v>
      </c>
      <c r="AA39" s="238" t="str">
        <f t="shared" si="13"/>
        <v>TRUE</v>
      </c>
      <c r="AB39" s="235">
        <f t="shared" si="14"/>
        <v>6724</v>
      </c>
      <c r="AC39" s="235">
        <f t="shared" si="15"/>
        <v>15129</v>
      </c>
      <c r="AD39" s="236">
        <f t="shared" si="16"/>
        <v>11699.534169533232</v>
      </c>
      <c r="AE39" s="235">
        <f t="shared" si="17"/>
        <v>1.3839886302540971</v>
      </c>
      <c r="AF39" s="235">
        <f t="shared" si="18"/>
        <v>79.296707407651567</v>
      </c>
      <c r="AG39" s="236">
        <f t="shared" si="19"/>
        <v>1.0433312975286859</v>
      </c>
      <c r="AH39" s="235">
        <f t="shared" si="20"/>
        <v>59.778479982301683</v>
      </c>
    </row>
    <row r="40" spans="5:34" x14ac:dyDescent="0.25">
      <c r="E40" s="222">
        <v>34</v>
      </c>
      <c r="F40" s="223">
        <v>31</v>
      </c>
      <c r="G40" s="224">
        <v>115</v>
      </c>
      <c r="H40" s="232">
        <f>R40</f>
        <v>-32.470428439608582</v>
      </c>
      <c r="I40" s="232">
        <f>$C$3 - AF40 - Y40</f>
        <v>-95.7348426604878</v>
      </c>
      <c r="J40" s="232">
        <f>AH40-$C$4</f>
        <v>-13.021208686573139</v>
      </c>
      <c r="K40" s="68">
        <f t="shared" si="0"/>
        <v>-32.470428439608582</v>
      </c>
      <c r="L40" s="68">
        <f t="shared" si="1"/>
        <v>-40</v>
      </c>
      <c r="M40" s="68">
        <f t="shared" si="2"/>
        <v>-13</v>
      </c>
      <c r="N40" s="226">
        <f>E40*COS(RADIANS($C$2)) + G40*SIN(RADIANS($C$2))</f>
        <v>101.17342493512871</v>
      </c>
      <c r="O40" s="226">
        <f>F40</f>
        <v>31</v>
      </c>
      <c r="P40" s="226">
        <f>-E40*SIN(RADIANS($C$2)) + G40*COS(RADIANS($C$2))</f>
        <v>-64.38119358085774</v>
      </c>
      <c r="Q40" s="227">
        <f t="shared" si="3"/>
        <v>-0.56671588580437449</v>
      </c>
      <c r="R40" s="227">
        <f t="shared" si="4"/>
        <v>-32.470428439608582</v>
      </c>
      <c r="S40" s="236">
        <f t="shared" si="5"/>
        <v>119.92080720208649</v>
      </c>
      <c r="T40" s="236">
        <f t="shared" si="6"/>
        <v>31</v>
      </c>
      <c r="U40" s="236">
        <f t="shared" si="7"/>
        <v>0</v>
      </c>
      <c r="V40" s="237">
        <f t="shared" si="8"/>
        <v>103.92080720208649</v>
      </c>
      <c r="W40" s="237">
        <f t="shared" si="9"/>
        <v>31</v>
      </c>
      <c r="X40" s="235">
        <f t="shared" si="10"/>
        <v>0.28990017231068743</v>
      </c>
      <c r="Y40" s="235">
        <f t="shared" si="11"/>
        <v>16.61005635351772</v>
      </c>
      <c r="Z40" s="235">
        <f t="shared" si="12"/>
        <v>108.44599655834803</v>
      </c>
      <c r="AA40" s="238" t="str">
        <f t="shared" si="13"/>
        <v>TRUE</v>
      </c>
      <c r="AB40" s="235">
        <f t="shared" si="14"/>
        <v>6724</v>
      </c>
      <c r="AC40" s="235">
        <f t="shared" si="15"/>
        <v>15129</v>
      </c>
      <c r="AD40" s="236">
        <f t="shared" si="16"/>
        <v>11760.534169533232</v>
      </c>
      <c r="AE40" s="235">
        <f t="shared" si="17"/>
        <v>1.3809880409935527</v>
      </c>
      <c r="AF40" s="235">
        <f t="shared" si="18"/>
        <v>79.12478630697008</v>
      </c>
      <c r="AG40" s="236">
        <f t="shared" si="19"/>
        <v>1.0468273897858729</v>
      </c>
      <c r="AH40" s="235">
        <f t="shared" si="20"/>
        <v>59.978791313426861</v>
      </c>
    </row>
    <row r="41" spans="5:34" x14ac:dyDescent="0.25">
      <c r="E41" s="222">
        <v>34</v>
      </c>
      <c r="F41" s="223">
        <v>33</v>
      </c>
      <c r="G41" s="224">
        <v>115</v>
      </c>
      <c r="H41" s="232">
        <f>R41</f>
        <v>-32.470428439608582</v>
      </c>
      <c r="I41" s="232">
        <f>$C$3 - AF41 - Y41</f>
        <v>-96.383573339074019</v>
      </c>
      <c r="J41" s="232">
        <f>AH41-$C$4</f>
        <v>-12.602190325436467</v>
      </c>
      <c r="K41" s="68">
        <f t="shared" si="0"/>
        <v>-32.470428439608582</v>
      </c>
      <c r="L41" s="68">
        <f t="shared" si="1"/>
        <v>-40</v>
      </c>
      <c r="M41" s="68">
        <f t="shared" si="2"/>
        <v>-12.602190325436467</v>
      </c>
      <c r="N41" s="226">
        <f>E41*COS(RADIANS($C$2)) + G41*SIN(RADIANS($C$2))</f>
        <v>101.17342493512871</v>
      </c>
      <c r="O41" s="226">
        <f>F41</f>
        <v>33</v>
      </c>
      <c r="P41" s="226">
        <f>-E41*SIN(RADIANS($C$2)) + G41*COS(RADIANS($C$2))</f>
        <v>-64.38119358085774</v>
      </c>
      <c r="Q41" s="227">
        <f t="shared" si="3"/>
        <v>-0.56671588580437449</v>
      </c>
      <c r="R41" s="227">
        <f t="shared" si="4"/>
        <v>-32.470428439608582</v>
      </c>
      <c r="S41" s="236">
        <f t="shared" si="5"/>
        <v>119.92080720208649</v>
      </c>
      <c r="T41" s="236">
        <f t="shared" si="6"/>
        <v>33</v>
      </c>
      <c r="U41" s="236">
        <f t="shared" si="7"/>
        <v>0</v>
      </c>
      <c r="V41" s="237">
        <f t="shared" si="8"/>
        <v>103.92080720208649</v>
      </c>
      <c r="W41" s="237">
        <f t="shared" si="9"/>
        <v>33</v>
      </c>
      <c r="X41" s="235">
        <f t="shared" si="10"/>
        <v>0.30747848534395483</v>
      </c>
      <c r="Y41" s="235">
        <f t="shared" si="11"/>
        <v>17.617219501283749</v>
      </c>
      <c r="Z41" s="235">
        <f t="shared" si="12"/>
        <v>109.03455493343948</v>
      </c>
      <c r="AA41" s="238" t="str">
        <f t="shared" si="13"/>
        <v>TRUE</v>
      </c>
      <c r="AB41" s="235">
        <f t="shared" si="14"/>
        <v>6724</v>
      </c>
      <c r="AC41" s="235">
        <f t="shared" si="15"/>
        <v>15129</v>
      </c>
      <c r="AD41" s="236">
        <f t="shared" si="16"/>
        <v>11888.534169533232</v>
      </c>
      <c r="AE41" s="235">
        <f t="shared" si="17"/>
        <v>1.3747322142603118</v>
      </c>
      <c r="AF41" s="235">
        <f t="shared" si="18"/>
        <v>78.766353837790277</v>
      </c>
      <c r="AG41" s="236">
        <f t="shared" si="19"/>
        <v>1.0541406398140185</v>
      </c>
      <c r="AH41" s="235">
        <f t="shared" si="20"/>
        <v>60.397809674563533</v>
      </c>
    </row>
    <row r="42" spans="5:34" x14ac:dyDescent="0.25">
      <c r="E42" s="222">
        <v>34</v>
      </c>
      <c r="F42" s="223">
        <v>34</v>
      </c>
      <c r="G42" s="224">
        <v>115</v>
      </c>
      <c r="H42" s="232">
        <f>R42</f>
        <v>-32.470428439608582</v>
      </c>
      <c r="I42" s="232">
        <f>$C$3 - AF42 - Y42</f>
        <v>-96.696624772953797</v>
      </c>
      <c r="J42" s="232">
        <f>AH42-$C$4</f>
        <v>-12.383554462445233</v>
      </c>
      <c r="K42" s="68">
        <f t="shared" si="0"/>
        <v>-32.470428439608582</v>
      </c>
      <c r="L42" s="68">
        <f t="shared" si="1"/>
        <v>-40</v>
      </c>
      <c r="M42" s="68">
        <f t="shared" si="2"/>
        <v>-12.383554462445233</v>
      </c>
      <c r="N42" s="226">
        <f>E42*COS(RADIANS($C$2)) + G42*SIN(RADIANS($C$2))</f>
        <v>101.17342493512871</v>
      </c>
      <c r="O42" s="226">
        <f>F42</f>
        <v>34</v>
      </c>
      <c r="P42" s="226">
        <f>-E42*SIN(RADIANS($C$2)) + G42*COS(RADIANS($C$2))</f>
        <v>-64.38119358085774</v>
      </c>
      <c r="Q42" s="227">
        <f t="shared" si="3"/>
        <v>-0.56671588580437449</v>
      </c>
      <c r="R42" s="227">
        <f t="shared" si="4"/>
        <v>-32.470428439608582</v>
      </c>
      <c r="S42" s="236">
        <f t="shared" si="5"/>
        <v>119.92080720208649</v>
      </c>
      <c r="T42" s="236">
        <f t="shared" si="6"/>
        <v>34</v>
      </c>
      <c r="U42" s="236">
        <f t="shared" si="7"/>
        <v>0</v>
      </c>
      <c r="V42" s="237">
        <f t="shared" si="8"/>
        <v>103.92080720208649</v>
      </c>
      <c r="W42" s="237">
        <f t="shared" si="9"/>
        <v>34</v>
      </c>
      <c r="X42" s="235">
        <f t="shared" si="10"/>
        <v>0.3161953311479857</v>
      </c>
      <c r="Y42" s="235">
        <f t="shared" si="11"/>
        <v>18.11665797652104</v>
      </c>
      <c r="Z42" s="235">
        <f t="shared" si="12"/>
        <v>109.34136531767487</v>
      </c>
      <c r="AA42" s="238" t="str">
        <f t="shared" si="13"/>
        <v>TRUE</v>
      </c>
      <c r="AB42" s="235">
        <f t="shared" si="14"/>
        <v>6724</v>
      </c>
      <c r="AC42" s="235">
        <f t="shared" si="15"/>
        <v>15129</v>
      </c>
      <c r="AD42" s="236">
        <f t="shared" si="16"/>
        <v>11955.534169533234</v>
      </c>
      <c r="AE42" s="235">
        <f t="shared" si="17"/>
        <v>1.3714791467055722</v>
      </c>
      <c r="AF42" s="235">
        <f t="shared" si="18"/>
        <v>78.579966796432757</v>
      </c>
      <c r="AG42" s="236">
        <f t="shared" si="19"/>
        <v>1.0579565554861547</v>
      </c>
      <c r="AH42" s="235">
        <f t="shared" si="20"/>
        <v>60.616445537554767</v>
      </c>
    </row>
    <row r="43" spans="5:34" x14ac:dyDescent="0.25">
      <c r="E43" s="222">
        <v>34</v>
      </c>
      <c r="F43" s="223">
        <v>36</v>
      </c>
      <c r="G43" s="224">
        <v>115</v>
      </c>
      <c r="H43" s="232">
        <f>R43</f>
        <v>-32.470428439608582</v>
      </c>
      <c r="I43" s="232">
        <f>$C$3 - AF43 - Y43</f>
        <v>-97.300152275181176</v>
      </c>
      <c r="J43" s="232">
        <f>AH43-$C$4</f>
        <v>-11.928209382911419</v>
      </c>
      <c r="K43" s="68">
        <f t="shared" si="0"/>
        <v>-32.470428439608582</v>
      </c>
      <c r="L43" s="68">
        <f t="shared" si="1"/>
        <v>-40</v>
      </c>
      <c r="M43" s="68">
        <f t="shared" si="2"/>
        <v>-11.928209382911419</v>
      </c>
      <c r="N43" s="226">
        <f>E43*COS(RADIANS($C$2)) + G43*SIN(RADIANS($C$2))</f>
        <v>101.17342493512871</v>
      </c>
      <c r="O43" s="226">
        <f>F43</f>
        <v>36</v>
      </c>
      <c r="P43" s="226">
        <f>-E43*SIN(RADIANS($C$2)) + G43*COS(RADIANS($C$2))</f>
        <v>-64.38119358085774</v>
      </c>
      <c r="Q43" s="227">
        <f t="shared" si="3"/>
        <v>-0.56671588580437449</v>
      </c>
      <c r="R43" s="227">
        <f t="shared" si="4"/>
        <v>-32.470428439608582</v>
      </c>
      <c r="S43" s="236">
        <f t="shared" si="5"/>
        <v>119.92080720208649</v>
      </c>
      <c r="T43" s="236">
        <f t="shared" si="6"/>
        <v>36</v>
      </c>
      <c r="U43" s="236">
        <f t="shared" si="7"/>
        <v>0</v>
      </c>
      <c r="V43" s="237">
        <f t="shared" si="8"/>
        <v>103.92080720208649</v>
      </c>
      <c r="W43" s="237">
        <f t="shared" si="9"/>
        <v>36</v>
      </c>
      <c r="X43" s="235">
        <f t="shared" si="10"/>
        <v>0.33347984277327247</v>
      </c>
      <c r="Y43" s="235">
        <f t="shared" si="11"/>
        <v>19.10698754359478</v>
      </c>
      <c r="Z43" s="235">
        <f t="shared" si="12"/>
        <v>109.97969889726572</v>
      </c>
      <c r="AA43" s="238" t="str">
        <f t="shared" si="13"/>
        <v>TRUE</v>
      </c>
      <c r="AB43" s="235">
        <f t="shared" si="14"/>
        <v>6724</v>
      </c>
      <c r="AC43" s="235">
        <f t="shared" si="15"/>
        <v>15129</v>
      </c>
      <c r="AD43" s="236">
        <f t="shared" si="16"/>
        <v>12095.53416953323</v>
      </c>
      <c r="AE43" s="235">
        <f t="shared" si="17"/>
        <v>1.3647281771204907</v>
      </c>
      <c r="AF43" s="235">
        <f t="shared" si="18"/>
        <v>78.193164731586393</v>
      </c>
      <c r="AG43" s="236">
        <f t="shared" si="19"/>
        <v>1.0659038263567753</v>
      </c>
      <c r="AH43" s="235">
        <f t="shared" si="20"/>
        <v>61.071790617088581</v>
      </c>
    </row>
    <row r="44" spans="5:34" x14ac:dyDescent="0.25">
      <c r="E44" s="222">
        <v>34</v>
      </c>
      <c r="F44" s="223">
        <v>37</v>
      </c>
      <c r="G44" s="224">
        <v>115</v>
      </c>
      <c r="H44" s="232">
        <f>R44</f>
        <v>-32.470428439608582</v>
      </c>
      <c r="I44" s="232">
        <f>$C$3 - AF44 - Y44</f>
        <v>-97.590656910448089</v>
      </c>
      <c r="J44" s="232">
        <f>AH44-$C$4</f>
        <v>-11.691572767728097</v>
      </c>
      <c r="K44" s="68">
        <f t="shared" si="0"/>
        <v>-32.470428439608582</v>
      </c>
      <c r="L44" s="68">
        <f t="shared" si="1"/>
        <v>-40</v>
      </c>
      <c r="M44" s="68">
        <f t="shared" si="2"/>
        <v>-11.691572767728097</v>
      </c>
      <c r="N44" s="226">
        <f>E44*COS(RADIANS($C$2)) + G44*SIN(RADIANS($C$2))</f>
        <v>101.17342493512871</v>
      </c>
      <c r="O44" s="226">
        <f>F44</f>
        <v>37</v>
      </c>
      <c r="P44" s="226">
        <f>-E44*SIN(RADIANS($C$2)) + G44*COS(RADIANS($C$2))</f>
        <v>-64.38119358085774</v>
      </c>
      <c r="Q44" s="227">
        <f t="shared" si="3"/>
        <v>-0.56671588580437449</v>
      </c>
      <c r="R44" s="227">
        <f t="shared" si="4"/>
        <v>-32.470428439608582</v>
      </c>
      <c r="S44" s="236">
        <f t="shared" si="5"/>
        <v>119.92080720208649</v>
      </c>
      <c r="T44" s="236">
        <f t="shared" si="6"/>
        <v>37</v>
      </c>
      <c r="U44" s="236">
        <f t="shared" si="7"/>
        <v>0</v>
      </c>
      <c r="V44" s="237">
        <f t="shared" si="8"/>
        <v>103.92080720208649</v>
      </c>
      <c r="W44" s="237">
        <f t="shared" si="9"/>
        <v>37</v>
      </c>
      <c r="X44" s="235">
        <f t="shared" si="10"/>
        <v>0.34204580516377003</v>
      </c>
      <c r="Y44" s="235">
        <f t="shared" si="11"/>
        <v>19.597781036038082</v>
      </c>
      <c r="Z44" s="235">
        <f t="shared" si="12"/>
        <v>110.31107908788324</v>
      </c>
      <c r="AA44" s="238" t="str">
        <f t="shared" si="13"/>
        <v>TRUE</v>
      </c>
      <c r="AB44" s="235">
        <f t="shared" si="14"/>
        <v>6724</v>
      </c>
      <c r="AC44" s="235">
        <f t="shared" si="15"/>
        <v>15129</v>
      </c>
      <c r="AD44" s="236">
        <f t="shared" si="16"/>
        <v>12168.534169533232</v>
      </c>
      <c r="AE44" s="235">
        <f t="shared" si="17"/>
        <v>1.361232477107706</v>
      </c>
      <c r="AF44" s="235">
        <f t="shared" si="18"/>
        <v>77.992875874410004</v>
      </c>
      <c r="AG44" s="236">
        <f t="shared" si="19"/>
        <v>1.0700339144224991</v>
      </c>
      <c r="AH44" s="235">
        <f t="shared" si="20"/>
        <v>61.308427232271903</v>
      </c>
    </row>
    <row r="45" spans="5:34" x14ac:dyDescent="0.25">
      <c r="E45" s="222">
        <v>34</v>
      </c>
      <c r="F45" s="223">
        <v>39</v>
      </c>
      <c r="G45" s="224">
        <v>115</v>
      </c>
      <c r="H45" s="232">
        <f>R45</f>
        <v>-32.470428439608582</v>
      </c>
      <c r="I45" s="232">
        <f>$C$3 - AF45 - Y45</f>
        <v>-98.14923714522304</v>
      </c>
      <c r="J45" s="232">
        <f>AH45-$C$4</f>
        <v>-11.200553702328072</v>
      </c>
      <c r="K45" s="68">
        <f t="shared" si="0"/>
        <v>-32.470428439608582</v>
      </c>
      <c r="L45" s="68">
        <f t="shared" si="1"/>
        <v>-40</v>
      </c>
      <c r="M45" s="68">
        <f t="shared" si="2"/>
        <v>-11.200553702328072</v>
      </c>
      <c r="N45" s="226">
        <f>E45*COS(RADIANS($C$2)) + G45*SIN(RADIANS($C$2))</f>
        <v>101.17342493512871</v>
      </c>
      <c r="O45" s="226">
        <f>F45</f>
        <v>39</v>
      </c>
      <c r="P45" s="226">
        <f>-E45*SIN(RADIANS($C$2)) + G45*COS(RADIANS($C$2))</f>
        <v>-64.38119358085774</v>
      </c>
      <c r="Q45" s="227">
        <f t="shared" si="3"/>
        <v>-0.56671588580437449</v>
      </c>
      <c r="R45" s="227">
        <f t="shared" si="4"/>
        <v>-32.470428439608582</v>
      </c>
      <c r="S45" s="236">
        <f t="shared" si="5"/>
        <v>119.92080720208649</v>
      </c>
      <c r="T45" s="236">
        <f t="shared" si="6"/>
        <v>39</v>
      </c>
      <c r="U45" s="236">
        <f t="shared" si="7"/>
        <v>0</v>
      </c>
      <c r="V45" s="237">
        <f t="shared" si="8"/>
        <v>103.92080720208649</v>
      </c>
      <c r="W45" s="237">
        <f t="shared" si="9"/>
        <v>39</v>
      </c>
      <c r="X45" s="235">
        <f t="shared" si="10"/>
        <v>0.35902118354723078</v>
      </c>
      <c r="Y45" s="235">
        <f t="shared" si="11"/>
        <v>20.570398573047992</v>
      </c>
      <c r="Z45" s="235">
        <f t="shared" si="12"/>
        <v>110.99790164473035</v>
      </c>
      <c r="AA45" s="238" t="str">
        <f t="shared" si="13"/>
        <v>TRUE</v>
      </c>
      <c r="AB45" s="235">
        <f t="shared" si="14"/>
        <v>6724</v>
      </c>
      <c r="AC45" s="235">
        <f t="shared" si="15"/>
        <v>15129</v>
      </c>
      <c r="AD45" s="236">
        <f t="shared" si="16"/>
        <v>12320.534169533232</v>
      </c>
      <c r="AE45" s="235">
        <f t="shared" si="17"/>
        <v>1.354006162957631</v>
      </c>
      <c r="AF45" s="235">
        <f t="shared" si="18"/>
        <v>77.578838572175044</v>
      </c>
      <c r="AG45" s="236">
        <f t="shared" si="19"/>
        <v>1.0786038138037948</v>
      </c>
      <c r="AH45" s="235">
        <f t="shared" si="20"/>
        <v>61.799446297671928</v>
      </c>
    </row>
    <row r="46" spans="5:34" x14ac:dyDescent="0.25">
      <c r="E46" s="222">
        <v>34</v>
      </c>
      <c r="F46" s="223">
        <v>40</v>
      </c>
      <c r="G46" s="224">
        <v>115</v>
      </c>
      <c r="H46" s="232">
        <f>R46</f>
        <v>-32.470428439608582</v>
      </c>
      <c r="I46" s="232">
        <f>$C$3 - AF46 - Y46</f>
        <v>-98.417355109083815</v>
      </c>
      <c r="J46" s="232">
        <f>AH46-$C$4</f>
        <v>-10.946244268999877</v>
      </c>
      <c r="K46" s="68">
        <f t="shared" si="0"/>
        <v>-32.470428439608582</v>
      </c>
      <c r="L46" s="68">
        <f t="shared" si="1"/>
        <v>-40</v>
      </c>
      <c r="M46" s="68">
        <f t="shared" si="2"/>
        <v>-10.946244268999877</v>
      </c>
      <c r="N46" s="226">
        <f>E46*COS(RADIANS($C$2)) + G46*SIN(RADIANS($C$2))</f>
        <v>101.17342493512871</v>
      </c>
      <c r="O46" s="226">
        <f>F46</f>
        <v>40</v>
      </c>
      <c r="P46" s="226">
        <f>-E46*SIN(RADIANS($C$2)) + G46*COS(RADIANS($C$2))</f>
        <v>-64.38119358085774</v>
      </c>
      <c r="Q46" s="227">
        <f t="shared" si="3"/>
        <v>-0.56671588580437449</v>
      </c>
      <c r="R46" s="227">
        <f t="shared" si="4"/>
        <v>-32.470428439608582</v>
      </c>
      <c r="S46" s="236">
        <f t="shared" si="5"/>
        <v>119.92080720208649</v>
      </c>
      <c r="T46" s="236">
        <f t="shared" si="6"/>
        <v>40</v>
      </c>
      <c r="U46" s="236">
        <f t="shared" si="7"/>
        <v>0</v>
      </c>
      <c r="V46" s="237">
        <f t="shared" si="8"/>
        <v>103.92080720208649</v>
      </c>
      <c r="W46" s="237">
        <f t="shared" si="9"/>
        <v>40</v>
      </c>
      <c r="X46" s="235">
        <f t="shared" si="10"/>
        <v>0.36742913460091736</v>
      </c>
      <c r="Y46" s="235">
        <f t="shared" si="11"/>
        <v>21.052138682776807</v>
      </c>
      <c r="Z46" s="235">
        <f t="shared" si="12"/>
        <v>111.35319559641398</v>
      </c>
      <c r="AA46" s="238" t="str">
        <f t="shared" si="13"/>
        <v>TRUE</v>
      </c>
      <c r="AB46" s="235">
        <f t="shared" si="14"/>
        <v>6724</v>
      </c>
      <c r="AC46" s="235">
        <f t="shared" si="15"/>
        <v>15129</v>
      </c>
      <c r="AD46" s="236">
        <f t="shared" si="16"/>
        <v>12399.53416953323</v>
      </c>
      <c r="AE46" s="235">
        <f t="shared" si="17"/>
        <v>1.3502777531570584</v>
      </c>
      <c r="AF46" s="235">
        <f t="shared" si="18"/>
        <v>77.365216426307015</v>
      </c>
      <c r="AG46" s="236">
        <f t="shared" si="19"/>
        <v>1.0830423507342528</v>
      </c>
      <c r="AH46" s="235">
        <f t="shared" si="20"/>
        <v>62.053755731000123</v>
      </c>
    </row>
    <row r="47" spans="5:34" x14ac:dyDescent="0.25">
      <c r="E47" s="222">
        <v>34</v>
      </c>
      <c r="F47" s="223">
        <v>42</v>
      </c>
      <c r="G47" s="224">
        <v>115</v>
      </c>
      <c r="H47" s="232">
        <f>R47</f>
        <v>-32.470428439608582</v>
      </c>
      <c r="I47" s="232">
        <f>$C$3 - AF47 - Y47</f>
        <v>-98.931368125848124</v>
      </c>
      <c r="J47" s="232">
        <f>AH47-$C$4</f>
        <v>-10.420207712090203</v>
      </c>
      <c r="K47" s="68">
        <f t="shared" si="0"/>
        <v>-32.470428439608582</v>
      </c>
      <c r="L47" s="68">
        <f t="shared" si="1"/>
        <v>-40</v>
      </c>
      <c r="M47" s="68">
        <f t="shared" si="2"/>
        <v>-10.420207712090203</v>
      </c>
      <c r="N47" s="226">
        <f>E47*COS(RADIANS($C$2)) + G47*SIN(RADIANS($C$2))</f>
        <v>101.17342493512871</v>
      </c>
      <c r="O47" s="226">
        <f>F47</f>
        <v>42</v>
      </c>
      <c r="P47" s="226">
        <f>-E47*SIN(RADIANS($C$2)) + G47*COS(RADIANS($C$2))</f>
        <v>-64.38119358085774</v>
      </c>
      <c r="Q47" s="227">
        <f t="shared" si="3"/>
        <v>-0.56671588580437449</v>
      </c>
      <c r="R47" s="227">
        <f t="shared" si="4"/>
        <v>-32.470428439608582</v>
      </c>
      <c r="S47" s="236">
        <f t="shared" si="5"/>
        <v>119.92080720208649</v>
      </c>
      <c r="T47" s="236">
        <f t="shared" si="6"/>
        <v>42</v>
      </c>
      <c r="U47" s="236">
        <f t="shared" si="7"/>
        <v>0</v>
      </c>
      <c r="V47" s="237">
        <f t="shared" si="8"/>
        <v>103.92080720208649</v>
      </c>
      <c r="W47" s="237">
        <f t="shared" si="9"/>
        <v>42</v>
      </c>
      <c r="X47" s="235">
        <f t="shared" si="10"/>
        <v>0.38408219216277373</v>
      </c>
      <c r="Y47" s="235">
        <f t="shared" si="11"/>
        <v>22.006288597059598</v>
      </c>
      <c r="Z47" s="235">
        <f t="shared" si="12"/>
        <v>112.08717218992203</v>
      </c>
      <c r="AA47" s="238" t="str">
        <f t="shared" si="13"/>
        <v>TRUE</v>
      </c>
      <c r="AB47" s="235">
        <f t="shared" si="14"/>
        <v>6724</v>
      </c>
      <c r="AC47" s="235">
        <f t="shared" si="15"/>
        <v>15129</v>
      </c>
      <c r="AD47" s="236">
        <f t="shared" si="16"/>
        <v>12563.53416953323</v>
      </c>
      <c r="AE47" s="235">
        <f t="shared" si="17"/>
        <v>1.342595915135848</v>
      </c>
      <c r="AF47" s="235">
        <f t="shared" si="18"/>
        <v>76.92507952878853</v>
      </c>
      <c r="AG47" s="236">
        <f t="shared" si="19"/>
        <v>1.0922234206381811</v>
      </c>
      <c r="AH47" s="235">
        <f t="shared" si="20"/>
        <v>62.579792287909797</v>
      </c>
    </row>
    <row r="48" spans="5:34" x14ac:dyDescent="0.25">
      <c r="E48" s="222">
        <v>34</v>
      </c>
      <c r="F48" s="223">
        <v>43</v>
      </c>
      <c r="G48" s="224">
        <v>115</v>
      </c>
      <c r="H48" s="232">
        <f>R48</f>
        <v>-32.470428439608582</v>
      </c>
      <c r="I48" s="232">
        <f>$C$3 - AF48 - Y48</f>
        <v>-99.177317498373299</v>
      </c>
      <c r="J48" s="232">
        <f>AH48-$C$4</f>
        <v>-10.148553035018665</v>
      </c>
      <c r="K48" s="68">
        <f t="shared" si="0"/>
        <v>-32.470428439608582</v>
      </c>
      <c r="L48" s="68">
        <f t="shared" si="1"/>
        <v>-40</v>
      </c>
      <c r="M48" s="68">
        <f t="shared" si="2"/>
        <v>-10.148553035018665</v>
      </c>
      <c r="N48" s="226">
        <f>E48*COS(RADIANS($C$2)) + G48*SIN(RADIANS($C$2))</f>
        <v>101.17342493512871</v>
      </c>
      <c r="O48" s="226">
        <f>F48</f>
        <v>43</v>
      </c>
      <c r="P48" s="226">
        <f>-E48*SIN(RADIANS($C$2)) + G48*COS(RADIANS($C$2))</f>
        <v>-64.38119358085774</v>
      </c>
      <c r="Q48" s="227">
        <f t="shared" si="3"/>
        <v>-0.56671588580437449</v>
      </c>
      <c r="R48" s="227">
        <f t="shared" si="4"/>
        <v>-32.470428439608582</v>
      </c>
      <c r="S48" s="236">
        <f t="shared" si="5"/>
        <v>119.92080720208649</v>
      </c>
      <c r="T48" s="236">
        <f t="shared" si="6"/>
        <v>43</v>
      </c>
      <c r="U48" s="236">
        <f t="shared" si="7"/>
        <v>0</v>
      </c>
      <c r="V48" s="237">
        <f t="shared" si="8"/>
        <v>103.92080720208649</v>
      </c>
      <c r="W48" s="237">
        <f t="shared" si="9"/>
        <v>43</v>
      </c>
      <c r="X48" s="235">
        <f t="shared" si="10"/>
        <v>0.39232606755827887</v>
      </c>
      <c r="Y48" s="235">
        <f t="shared" si="11"/>
        <v>22.478627864053784</v>
      </c>
      <c r="Z48" s="235">
        <f t="shared" si="12"/>
        <v>112.46570219197154</v>
      </c>
      <c r="AA48" s="238" t="str">
        <f t="shared" si="13"/>
        <v>TRUE</v>
      </c>
      <c r="AB48" s="235">
        <f t="shared" si="14"/>
        <v>6724</v>
      </c>
      <c r="AC48" s="235">
        <f t="shared" si="15"/>
        <v>15129</v>
      </c>
      <c r="AD48" s="236">
        <f t="shared" si="16"/>
        <v>12648.534169533234</v>
      </c>
      <c r="AE48" s="235">
        <f t="shared" si="17"/>
        <v>1.3386446660841211</v>
      </c>
      <c r="AF48" s="235">
        <f t="shared" si="18"/>
        <v>76.698689634319521</v>
      </c>
      <c r="AG48" s="236">
        <f t="shared" si="19"/>
        <v>1.0969646891815215</v>
      </c>
      <c r="AH48" s="235">
        <f t="shared" si="20"/>
        <v>62.851446964981335</v>
      </c>
    </row>
    <row r="49" spans="5:34" x14ac:dyDescent="0.25">
      <c r="E49" s="222">
        <v>34</v>
      </c>
      <c r="F49" s="223">
        <v>45</v>
      </c>
      <c r="G49" s="224">
        <v>115</v>
      </c>
      <c r="H49" s="232">
        <f>R49</f>
        <v>-32.470428439608582</v>
      </c>
      <c r="I49" s="232">
        <f>$C$3 - AF49 - Y49</f>
        <v>-99.647250936800916</v>
      </c>
      <c r="J49" s="232">
        <f>AH49-$C$4</f>
        <v>-9.5881503762388718</v>
      </c>
      <c r="K49" s="68">
        <f t="shared" si="0"/>
        <v>-32.470428439608582</v>
      </c>
      <c r="L49" s="68">
        <f t="shared" si="1"/>
        <v>-40</v>
      </c>
      <c r="M49" s="68">
        <f t="shared" si="2"/>
        <v>-9.5881503762388718</v>
      </c>
      <c r="N49" s="226">
        <f>E49*COS(RADIANS($C$2)) + G49*SIN(RADIANS($C$2))</f>
        <v>101.17342493512871</v>
      </c>
      <c r="O49" s="226">
        <f>F49</f>
        <v>45</v>
      </c>
      <c r="P49" s="226">
        <f>-E49*SIN(RADIANS($C$2)) + G49*COS(RADIANS($C$2))</f>
        <v>-64.38119358085774</v>
      </c>
      <c r="Q49" s="227">
        <f t="shared" si="3"/>
        <v>-0.56671588580437449</v>
      </c>
      <c r="R49" s="227">
        <f t="shared" si="4"/>
        <v>-32.470428439608582</v>
      </c>
      <c r="S49" s="236">
        <f t="shared" si="5"/>
        <v>119.92080720208649</v>
      </c>
      <c r="T49" s="236">
        <f t="shared" si="6"/>
        <v>45</v>
      </c>
      <c r="U49" s="236">
        <f t="shared" si="7"/>
        <v>0</v>
      </c>
      <c r="V49" s="237">
        <f t="shared" si="8"/>
        <v>103.92080720208649</v>
      </c>
      <c r="W49" s="237">
        <f t="shared" si="9"/>
        <v>45</v>
      </c>
      <c r="X49" s="235">
        <f t="shared" si="10"/>
        <v>0.40864571928268267</v>
      </c>
      <c r="Y49" s="235">
        <f t="shared" si="11"/>
        <v>23.413675030985519</v>
      </c>
      <c r="Z49" s="235">
        <f t="shared" si="12"/>
        <v>113.24545981863128</v>
      </c>
      <c r="AA49" s="238" t="str">
        <f t="shared" si="13"/>
        <v>TRUE</v>
      </c>
      <c r="AB49" s="235">
        <f t="shared" si="14"/>
        <v>6724</v>
      </c>
      <c r="AC49" s="235">
        <f t="shared" si="15"/>
        <v>15129</v>
      </c>
      <c r="AD49" s="236">
        <f t="shared" si="16"/>
        <v>12824.53416953323</v>
      </c>
      <c r="AE49" s="235">
        <f t="shared" si="17"/>
        <v>1.3305269001254973</v>
      </c>
      <c r="AF49" s="235">
        <f t="shared" si="18"/>
        <v>76.2335759058154</v>
      </c>
      <c r="AG49" s="236">
        <f t="shared" si="19"/>
        <v>1.1067455607141592</v>
      </c>
      <c r="AH49" s="235">
        <f t="shared" si="20"/>
        <v>63.411849623761128</v>
      </c>
    </row>
    <row r="50" spans="5:34" x14ac:dyDescent="0.25">
      <c r="E50" s="222">
        <v>34</v>
      </c>
      <c r="F50" s="223">
        <v>45</v>
      </c>
      <c r="G50" s="224">
        <v>115</v>
      </c>
      <c r="H50" s="232">
        <f>R50</f>
        <v>-32.470428439608582</v>
      </c>
      <c r="I50" s="232">
        <f>$C$3 - AF50 - Y50</f>
        <v>-99.647250936800916</v>
      </c>
      <c r="J50" s="232">
        <f>AH50-$C$4</f>
        <v>-9.5881503762388718</v>
      </c>
      <c r="K50" s="68">
        <f t="shared" si="0"/>
        <v>-32.470428439608582</v>
      </c>
      <c r="L50" s="68">
        <f t="shared" si="1"/>
        <v>-40</v>
      </c>
      <c r="M50" s="68">
        <f t="shared" si="2"/>
        <v>-9.5881503762388718</v>
      </c>
      <c r="N50" s="226">
        <f>E50*COS(RADIANS($C$2)) + G50*SIN(RADIANS($C$2))</f>
        <v>101.17342493512871</v>
      </c>
      <c r="O50" s="226">
        <f>F50</f>
        <v>45</v>
      </c>
      <c r="P50" s="226">
        <f>-E50*SIN(RADIANS($C$2)) + G50*COS(RADIANS($C$2))</f>
        <v>-64.38119358085774</v>
      </c>
      <c r="Q50" s="227">
        <f t="shared" si="3"/>
        <v>-0.56671588580437449</v>
      </c>
      <c r="R50" s="227">
        <f t="shared" si="4"/>
        <v>-32.470428439608582</v>
      </c>
      <c r="S50" s="236">
        <f t="shared" si="5"/>
        <v>119.92080720208649</v>
      </c>
      <c r="T50" s="236">
        <f t="shared" si="6"/>
        <v>45</v>
      </c>
      <c r="U50" s="236">
        <f t="shared" si="7"/>
        <v>0</v>
      </c>
      <c r="V50" s="237">
        <f t="shared" si="8"/>
        <v>103.92080720208649</v>
      </c>
      <c r="W50" s="237">
        <f t="shared" si="9"/>
        <v>45</v>
      </c>
      <c r="X50" s="235">
        <f t="shared" si="10"/>
        <v>0.40864571928268267</v>
      </c>
      <c r="Y50" s="235">
        <f t="shared" si="11"/>
        <v>23.413675030985519</v>
      </c>
      <c r="Z50" s="235">
        <f t="shared" si="12"/>
        <v>113.24545981863128</v>
      </c>
      <c r="AA50" s="238" t="str">
        <f t="shared" si="13"/>
        <v>TRUE</v>
      </c>
      <c r="AB50" s="235">
        <f t="shared" si="14"/>
        <v>6724</v>
      </c>
      <c r="AC50" s="235">
        <f t="shared" si="15"/>
        <v>15129</v>
      </c>
      <c r="AD50" s="236">
        <f t="shared" si="16"/>
        <v>12824.53416953323</v>
      </c>
      <c r="AE50" s="235">
        <f t="shared" si="17"/>
        <v>1.3305269001254973</v>
      </c>
      <c r="AF50" s="235">
        <f t="shared" si="18"/>
        <v>76.2335759058154</v>
      </c>
      <c r="AG50" s="236">
        <f t="shared" si="19"/>
        <v>1.1067455607141592</v>
      </c>
      <c r="AH50" s="235">
        <f t="shared" si="20"/>
        <v>63.411849623761128</v>
      </c>
    </row>
    <row r="51" spans="5:34" x14ac:dyDescent="0.25">
      <c r="E51" s="222">
        <v>34</v>
      </c>
      <c r="F51" s="223">
        <v>45</v>
      </c>
      <c r="G51" s="224">
        <v>115</v>
      </c>
      <c r="H51" s="232">
        <f>R51</f>
        <v>-32.470428439608582</v>
      </c>
      <c r="I51" s="232">
        <f>$C$3 - AF51 - Y51</f>
        <v>-99.647250936800916</v>
      </c>
      <c r="J51" s="232">
        <f>AH51-$C$4</f>
        <v>-9.5881503762388718</v>
      </c>
      <c r="K51" s="68">
        <f t="shared" si="0"/>
        <v>-32.470428439608582</v>
      </c>
      <c r="L51" s="68">
        <f t="shared" si="1"/>
        <v>-40</v>
      </c>
      <c r="M51" s="68">
        <f t="shared" si="2"/>
        <v>-9.5881503762388718</v>
      </c>
      <c r="N51" s="226">
        <f>E51*COS(RADIANS($C$2)) + G51*SIN(RADIANS($C$2))</f>
        <v>101.17342493512871</v>
      </c>
      <c r="O51" s="226">
        <f>F51</f>
        <v>45</v>
      </c>
      <c r="P51" s="226">
        <f>-E51*SIN(RADIANS($C$2)) + G51*COS(RADIANS($C$2))</f>
        <v>-64.38119358085774</v>
      </c>
      <c r="Q51" s="227">
        <f t="shared" si="3"/>
        <v>-0.56671588580437449</v>
      </c>
      <c r="R51" s="227">
        <f t="shared" si="4"/>
        <v>-32.470428439608582</v>
      </c>
      <c r="S51" s="236">
        <f t="shared" si="5"/>
        <v>119.92080720208649</v>
      </c>
      <c r="T51" s="236">
        <f t="shared" si="6"/>
        <v>45</v>
      </c>
      <c r="U51" s="236">
        <f t="shared" si="7"/>
        <v>0</v>
      </c>
      <c r="V51" s="237">
        <f t="shared" si="8"/>
        <v>103.92080720208649</v>
      </c>
      <c r="W51" s="237">
        <f t="shared" si="9"/>
        <v>45</v>
      </c>
      <c r="X51" s="235">
        <f t="shared" si="10"/>
        <v>0.40864571928268267</v>
      </c>
      <c r="Y51" s="235">
        <f t="shared" si="11"/>
        <v>23.413675030985519</v>
      </c>
      <c r="Z51" s="235">
        <f t="shared" si="12"/>
        <v>113.24545981863128</v>
      </c>
      <c r="AA51" s="238" t="str">
        <f t="shared" si="13"/>
        <v>TRUE</v>
      </c>
      <c r="AB51" s="235">
        <f t="shared" si="14"/>
        <v>6724</v>
      </c>
      <c r="AC51" s="235">
        <f t="shared" si="15"/>
        <v>15129</v>
      </c>
      <c r="AD51" s="236">
        <f t="shared" si="16"/>
        <v>12824.53416953323</v>
      </c>
      <c r="AE51" s="235">
        <f t="shared" si="17"/>
        <v>1.3305269001254973</v>
      </c>
      <c r="AF51" s="235">
        <f t="shared" si="18"/>
        <v>76.2335759058154</v>
      </c>
      <c r="AG51" s="236">
        <f t="shared" si="19"/>
        <v>1.1067455607141592</v>
      </c>
      <c r="AH51" s="235">
        <f t="shared" si="20"/>
        <v>63.411849623761128</v>
      </c>
    </row>
    <row r="52" spans="5:34" x14ac:dyDescent="0.25">
      <c r="E52" s="222">
        <v>34</v>
      </c>
      <c r="F52" s="223">
        <v>45</v>
      </c>
      <c r="G52" s="224">
        <v>115</v>
      </c>
      <c r="H52" s="232">
        <f>R52</f>
        <v>-32.470428439608582</v>
      </c>
      <c r="I52" s="232">
        <f>$C$3 - AF52 - Y52</f>
        <v>-99.647250936800916</v>
      </c>
      <c r="J52" s="232">
        <f>AH52-$C$4</f>
        <v>-9.5881503762388718</v>
      </c>
      <c r="K52" s="68">
        <f t="shared" si="0"/>
        <v>-32.470428439608582</v>
      </c>
      <c r="L52" s="68">
        <f t="shared" si="1"/>
        <v>-40</v>
      </c>
      <c r="M52" s="68">
        <f t="shared" si="2"/>
        <v>-9.5881503762388718</v>
      </c>
      <c r="N52" s="226">
        <f>E52*COS(RADIANS($C$2)) + G52*SIN(RADIANS($C$2))</f>
        <v>101.17342493512871</v>
      </c>
      <c r="O52" s="226">
        <f>F52</f>
        <v>45</v>
      </c>
      <c r="P52" s="226">
        <f>-E52*SIN(RADIANS($C$2)) + G52*COS(RADIANS($C$2))</f>
        <v>-64.38119358085774</v>
      </c>
      <c r="Q52" s="227">
        <f t="shared" si="3"/>
        <v>-0.56671588580437449</v>
      </c>
      <c r="R52" s="227">
        <f t="shared" si="4"/>
        <v>-32.470428439608582</v>
      </c>
      <c r="S52" s="236">
        <f t="shared" si="5"/>
        <v>119.92080720208649</v>
      </c>
      <c r="T52" s="236">
        <f t="shared" si="6"/>
        <v>45</v>
      </c>
      <c r="U52" s="236">
        <f t="shared" si="7"/>
        <v>0</v>
      </c>
      <c r="V52" s="237">
        <f t="shared" si="8"/>
        <v>103.92080720208649</v>
      </c>
      <c r="W52" s="237">
        <f t="shared" si="9"/>
        <v>45</v>
      </c>
      <c r="X52" s="235">
        <f t="shared" si="10"/>
        <v>0.40864571928268267</v>
      </c>
      <c r="Y52" s="235">
        <f t="shared" si="11"/>
        <v>23.413675030985519</v>
      </c>
      <c r="Z52" s="235">
        <f t="shared" si="12"/>
        <v>113.24545981863128</v>
      </c>
      <c r="AA52" s="238" t="str">
        <f t="shared" si="13"/>
        <v>TRUE</v>
      </c>
      <c r="AB52" s="235">
        <f t="shared" si="14"/>
        <v>6724</v>
      </c>
      <c r="AC52" s="235">
        <f t="shared" si="15"/>
        <v>15129</v>
      </c>
      <c r="AD52" s="236">
        <f t="shared" si="16"/>
        <v>12824.53416953323</v>
      </c>
      <c r="AE52" s="235">
        <f t="shared" si="17"/>
        <v>1.3305269001254973</v>
      </c>
      <c r="AF52" s="235">
        <f t="shared" si="18"/>
        <v>76.2335759058154</v>
      </c>
      <c r="AG52" s="236">
        <f t="shared" si="19"/>
        <v>1.1067455607141592</v>
      </c>
      <c r="AH52" s="235">
        <f t="shared" si="20"/>
        <v>63.411849623761128</v>
      </c>
    </row>
    <row r="53" spans="5:34" x14ac:dyDescent="0.25">
      <c r="E53" s="222">
        <v>34</v>
      </c>
      <c r="F53" s="223">
        <v>45</v>
      </c>
      <c r="G53" s="224">
        <v>115</v>
      </c>
      <c r="H53" s="232">
        <f>R53</f>
        <v>-32.470428439608582</v>
      </c>
      <c r="I53" s="232">
        <f>$C$3 - AF53 - Y53</f>
        <v>-99.647250936800916</v>
      </c>
      <c r="J53" s="232">
        <f>AH53-$C$4</f>
        <v>-9.5881503762388718</v>
      </c>
      <c r="K53" s="68">
        <f t="shared" si="0"/>
        <v>-32.470428439608582</v>
      </c>
      <c r="L53" s="68">
        <f t="shared" si="1"/>
        <v>-40</v>
      </c>
      <c r="M53" s="68">
        <f t="shared" si="2"/>
        <v>-9.5881503762388718</v>
      </c>
      <c r="N53" s="226">
        <f>E53*COS(RADIANS($C$2)) + G53*SIN(RADIANS($C$2))</f>
        <v>101.17342493512871</v>
      </c>
      <c r="O53" s="226">
        <f>F53</f>
        <v>45</v>
      </c>
      <c r="P53" s="226">
        <f>-E53*SIN(RADIANS($C$2)) + G53*COS(RADIANS($C$2))</f>
        <v>-64.38119358085774</v>
      </c>
      <c r="Q53" s="227">
        <f t="shared" si="3"/>
        <v>-0.56671588580437449</v>
      </c>
      <c r="R53" s="227">
        <f t="shared" si="4"/>
        <v>-32.470428439608582</v>
      </c>
      <c r="S53" s="236">
        <f t="shared" si="5"/>
        <v>119.92080720208649</v>
      </c>
      <c r="T53" s="236">
        <f t="shared" si="6"/>
        <v>45</v>
      </c>
      <c r="U53" s="236">
        <f t="shared" si="7"/>
        <v>0</v>
      </c>
      <c r="V53" s="237">
        <f t="shared" si="8"/>
        <v>103.92080720208649</v>
      </c>
      <c r="W53" s="237">
        <f t="shared" si="9"/>
        <v>45</v>
      </c>
      <c r="X53" s="235">
        <f t="shared" si="10"/>
        <v>0.40864571928268267</v>
      </c>
      <c r="Y53" s="235">
        <f t="shared" si="11"/>
        <v>23.413675030985519</v>
      </c>
      <c r="Z53" s="235">
        <f t="shared" si="12"/>
        <v>113.24545981863128</v>
      </c>
      <c r="AA53" s="238" t="str">
        <f t="shared" si="13"/>
        <v>TRUE</v>
      </c>
      <c r="AB53" s="235">
        <f t="shared" si="14"/>
        <v>6724</v>
      </c>
      <c r="AC53" s="235">
        <f t="shared" si="15"/>
        <v>15129</v>
      </c>
      <c r="AD53" s="236">
        <f t="shared" si="16"/>
        <v>12824.53416953323</v>
      </c>
      <c r="AE53" s="235">
        <f t="shared" si="17"/>
        <v>1.3305269001254973</v>
      </c>
      <c r="AF53" s="235">
        <f t="shared" si="18"/>
        <v>76.2335759058154</v>
      </c>
      <c r="AG53" s="236">
        <f t="shared" si="19"/>
        <v>1.1067455607141592</v>
      </c>
      <c r="AH53" s="235">
        <f t="shared" si="20"/>
        <v>63.411849623761128</v>
      </c>
    </row>
    <row r="54" spans="5:34" x14ac:dyDescent="0.25">
      <c r="E54" s="222">
        <v>34</v>
      </c>
      <c r="F54" s="223">
        <v>45</v>
      </c>
      <c r="G54" s="224">
        <v>115</v>
      </c>
      <c r="H54" s="232">
        <f>R54</f>
        <v>-32.470428439608582</v>
      </c>
      <c r="I54" s="232">
        <f>$C$3 - AF54 - Y54</f>
        <v>-99.647250936800916</v>
      </c>
      <c r="J54" s="232">
        <f>AH54-$C$4</f>
        <v>-9.5881503762388718</v>
      </c>
      <c r="K54" s="68">
        <f t="shared" si="0"/>
        <v>-32.470428439608582</v>
      </c>
      <c r="L54" s="68">
        <f t="shared" si="1"/>
        <v>-40</v>
      </c>
      <c r="M54" s="68">
        <f t="shared" si="2"/>
        <v>-9.5881503762388718</v>
      </c>
      <c r="N54" s="226">
        <f>E54*COS(RADIANS($C$2)) + G54*SIN(RADIANS($C$2))</f>
        <v>101.17342493512871</v>
      </c>
      <c r="O54" s="226">
        <f>F54</f>
        <v>45</v>
      </c>
      <c r="P54" s="226">
        <f>-E54*SIN(RADIANS($C$2)) + G54*COS(RADIANS($C$2))</f>
        <v>-64.38119358085774</v>
      </c>
      <c r="Q54" s="227">
        <f t="shared" si="3"/>
        <v>-0.56671588580437449</v>
      </c>
      <c r="R54" s="227">
        <f t="shared" si="4"/>
        <v>-32.470428439608582</v>
      </c>
      <c r="S54" s="236">
        <f t="shared" si="5"/>
        <v>119.92080720208649</v>
      </c>
      <c r="T54" s="236">
        <f t="shared" si="6"/>
        <v>45</v>
      </c>
      <c r="U54" s="236">
        <f t="shared" si="7"/>
        <v>0</v>
      </c>
      <c r="V54" s="237">
        <f t="shared" si="8"/>
        <v>103.92080720208649</v>
      </c>
      <c r="W54" s="237">
        <f t="shared" si="9"/>
        <v>45</v>
      </c>
      <c r="X54" s="235">
        <f t="shared" si="10"/>
        <v>0.40864571928268267</v>
      </c>
      <c r="Y54" s="235">
        <f t="shared" si="11"/>
        <v>23.413675030985519</v>
      </c>
      <c r="Z54" s="235">
        <f t="shared" si="12"/>
        <v>113.24545981863128</v>
      </c>
      <c r="AA54" s="238" t="str">
        <f t="shared" si="13"/>
        <v>TRUE</v>
      </c>
      <c r="AB54" s="235">
        <f t="shared" si="14"/>
        <v>6724</v>
      </c>
      <c r="AC54" s="235">
        <f t="shared" si="15"/>
        <v>15129</v>
      </c>
      <c r="AD54" s="236">
        <f t="shared" si="16"/>
        <v>12824.53416953323</v>
      </c>
      <c r="AE54" s="235">
        <f t="shared" si="17"/>
        <v>1.3305269001254973</v>
      </c>
      <c r="AF54" s="235">
        <f t="shared" si="18"/>
        <v>76.2335759058154</v>
      </c>
      <c r="AG54" s="236">
        <f t="shared" si="19"/>
        <v>1.1067455607141592</v>
      </c>
      <c r="AH54" s="235">
        <f t="shared" si="20"/>
        <v>63.411849623761128</v>
      </c>
    </row>
    <row r="55" spans="5:34" x14ac:dyDescent="0.25">
      <c r="E55" s="222">
        <v>34</v>
      </c>
      <c r="F55" s="223">
        <v>45</v>
      </c>
      <c r="G55" s="224">
        <v>115</v>
      </c>
      <c r="H55" s="232">
        <f>R55</f>
        <v>-32.470428439608582</v>
      </c>
      <c r="I55" s="232">
        <f>$C$3 - AF55 - Y55</f>
        <v>-99.647250936800916</v>
      </c>
      <c r="J55" s="232">
        <f>AH55-$C$4</f>
        <v>-9.5881503762388718</v>
      </c>
      <c r="K55" s="68">
        <f t="shared" si="0"/>
        <v>-32.470428439608582</v>
      </c>
      <c r="L55" s="68">
        <f t="shared" si="1"/>
        <v>-40</v>
      </c>
      <c r="M55" s="68">
        <f t="shared" si="2"/>
        <v>-9.5881503762388718</v>
      </c>
      <c r="N55" s="226">
        <f>E55*COS(RADIANS($C$2)) + G55*SIN(RADIANS($C$2))</f>
        <v>101.17342493512871</v>
      </c>
      <c r="O55" s="226">
        <f>F55</f>
        <v>45</v>
      </c>
      <c r="P55" s="226">
        <f>-E55*SIN(RADIANS($C$2)) + G55*COS(RADIANS($C$2))</f>
        <v>-64.38119358085774</v>
      </c>
      <c r="Q55" s="227">
        <f t="shared" si="3"/>
        <v>-0.56671588580437449</v>
      </c>
      <c r="R55" s="227">
        <f t="shared" si="4"/>
        <v>-32.470428439608582</v>
      </c>
      <c r="S55" s="236">
        <f t="shared" si="5"/>
        <v>119.92080720208649</v>
      </c>
      <c r="T55" s="236">
        <f t="shared" si="6"/>
        <v>45</v>
      </c>
      <c r="U55" s="236">
        <f t="shared" si="7"/>
        <v>0</v>
      </c>
      <c r="V55" s="237">
        <f t="shared" si="8"/>
        <v>103.92080720208649</v>
      </c>
      <c r="W55" s="237">
        <f t="shared" si="9"/>
        <v>45</v>
      </c>
      <c r="X55" s="235">
        <f t="shared" si="10"/>
        <v>0.40864571928268267</v>
      </c>
      <c r="Y55" s="235">
        <f t="shared" si="11"/>
        <v>23.413675030985519</v>
      </c>
      <c r="Z55" s="235">
        <f t="shared" si="12"/>
        <v>113.24545981863128</v>
      </c>
      <c r="AA55" s="238" t="str">
        <f t="shared" si="13"/>
        <v>TRUE</v>
      </c>
      <c r="AB55" s="235">
        <f t="shared" si="14"/>
        <v>6724</v>
      </c>
      <c r="AC55" s="235">
        <f t="shared" si="15"/>
        <v>15129</v>
      </c>
      <c r="AD55" s="236">
        <f t="shared" si="16"/>
        <v>12824.53416953323</v>
      </c>
      <c r="AE55" s="235">
        <f t="shared" si="17"/>
        <v>1.3305269001254973</v>
      </c>
      <c r="AF55" s="235">
        <f t="shared" si="18"/>
        <v>76.2335759058154</v>
      </c>
      <c r="AG55" s="236">
        <f t="shared" si="19"/>
        <v>1.1067455607141592</v>
      </c>
      <c r="AH55" s="235">
        <f t="shared" si="20"/>
        <v>63.411849623761128</v>
      </c>
    </row>
    <row r="56" spans="5:34" x14ac:dyDescent="0.25">
      <c r="E56" s="222">
        <v>34</v>
      </c>
      <c r="F56" s="223">
        <v>45</v>
      </c>
      <c r="G56" s="224">
        <v>115</v>
      </c>
      <c r="H56" s="232">
        <f>R56</f>
        <v>-32.470428439608582</v>
      </c>
      <c r="I56" s="232">
        <f>$C$3 - AF56 - Y56</f>
        <v>-99.647250936800916</v>
      </c>
      <c r="J56" s="232">
        <f>AH56-$C$4</f>
        <v>-9.5881503762388718</v>
      </c>
      <c r="K56" s="68">
        <f t="shared" si="0"/>
        <v>-32.470428439608582</v>
      </c>
      <c r="L56" s="68">
        <f t="shared" si="1"/>
        <v>-40</v>
      </c>
      <c r="M56" s="68">
        <f t="shared" si="2"/>
        <v>-9.5881503762388718</v>
      </c>
      <c r="N56" s="226">
        <f>E56*COS(RADIANS($C$2)) + G56*SIN(RADIANS($C$2))</f>
        <v>101.17342493512871</v>
      </c>
      <c r="O56" s="226">
        <f>F56</f>
        <v>45</v>
      </c>
      <c r="P56" s="226">
        <f>-E56*SIN(RADIANS($C$2)) + G56*COS(RADIANS($C$2))</f>
        <v>-64.38119358085774</v>
      </c>
      <c r="Q56" s="227">
        <f t="shared" si="3"/>
        <v>-0.56671588580437449</v>
      </c>
      <c r="R56" s="227">
        <f t="shared" si="4"/>
        <v>-32.470428439608582</v>
      </c>
      <c r="S56" s="236">
        <f t="shared" si="5"/>
        <v>119.92080720208649</v>
      </c>
      <c r="T56" s="236">
        <f t="shared" si="6"/>
        <v>45</v>
      </c>
      <c r="U56" s="236">
        <f t="shared" si="7"/>
        <v>0</v>
      </c>
      <c r="V56" s="237">
        <f t="shared" si="8"/>
        <v>103.92080720208649</v>
      </c>
      <c r="W56" s="237">
        <f t="shared" si="9"/>
        <v>45</v>
      </c>
      <c r="X56" s="235">
        <f t="shared" si="10"/>
        <v>0.40864571928268267</v>
      </c>
      <c r="Y56" s="235">
        <f t="shared" si="11"/>
        <v>23.413675030985519</v>
      </c>
      <c r="Z56" s="235">
        <f t="shared" si="12"/>
        <v>113.24545981863128</v>
      </c>
      <c r="AA56" s="238" t="str">
        <f t="shared" si="13"/>
        <v>TRUE</v>
      </c>
      <c r="AB56" s="235">
        <f t="shared" si="14"/>
        <v>6724</v>
      </c>
      <c r="AC56" s="235">
        <f t="shared" si="15"/>
        <v>15129</v>
      </c>
      <c r="AD56" s="236">
        <f t="shared" si="16"/>
        <v>12824.53416953323</v>
      </c>
      <c r="AE56" s="235">
        <f t="shared" si="17"/>
        <v>1.3305269001254973</v>
      </c>
      <c r="AF56" s="235">
        <f t="shared" si="18"/>
        <v>76.2335759058154</v>
      </c>
      <c r="AG56" s="236">
        <f t="shared" si="19"/>
        <v>1.1067455607141592</v>
      </c>
      <c r="AH56" s="235">
        <f t="shared" si="20"/>
        <v>63.411849623761128</v>
      </c>
    </row>
    <row r="57" spans="5:34" x14ac:dyDescent="0.25">
      <c r="E57" s="222">
        <v>34</v>
      </c>
      <c r="F57" s="223">
        <v>45</v>
      </c>
      <c r="G57" s="224">
        <v>115</v>
      </c>
      <c r="H57" s="232">
        <f>R57</f>
        <v>-32.470428439608582</v>
      </c>
      <c r="I57" s="232">
        <f>$C$3 - AF57 - Y57</f>
        <v>-99.647250936800916</v>
      </c>
      <c r="J57" s="232">
        <f>AH57-$C$4</f>
        <v>-9.5881503762388718</v>
      </c>
      <c r="K57" s="68">
        <f t="shared" si="0"/>
        <v>-32.470428439608582</v>
      </c>
      <c r="L57" s="68">
        <f t="shared" si="1"/>
        <v>-40</v>
      </c>
      <c r="M57" s="68">
        <f t="shared" si="2"/>
        <v>-9.5881503762388718</v>
      </c>
      <c r="N57" s="226">
        <f>E57*COS(RADIANS($C$2)) + G57*SIN(RADIANS($C$2))</f>
        <v>101.17342493512871</v>
      </c>
      <c r="O57" s="226">
        <f>F57</f>
        <v>45</v>
      </c>
      <c r="P57" s="226">
        <f>-E57*SIN(RADIANS($C$2)) + G57*COS(RADIANS($C$2))</f>
        <v>-64.38119358085774</v>
      </c>
      <c r="Q57" s="227">
        <f t="shared" si="3"/>
        <v>-0.56671588580437449</v>
      </c>
      <c r="R57" s="227">
        <f t="shared" si="4"/>
        <v>-32.470428439608582</v>
      </c>
      <c r="S57" s="236">
        <f t="shared" si="5"/>
        <v>119.92080720208649</v>
      </c>
      <c r="T57" s="236">
        <f t="shared" si="6"/>
        <v>45</v>
      </c>
      <c r="U57" s="236">
        <f t="shared" si="7"/>
        <v>0</v>
      </c>
      <c r="V57" s="237">
        <f t="shared" si="8"/>
        <v>103.92080720208649</v>
      </c>
      <c r="W57" s="237">
        <f t="shared" si="9"/>
        <v>45</v>
      </c>
      <c r="X57" s="235">
        <f t="shared" si="10"/>
        <v>0.40864571928268267</v>
      </c>
      <c r="Y57" s="235">
        <f t="shared" si="11"/>
        <v>23.413675030985519</v>
      </c>
      <c r="Z57" s="235">
        <f t="shared" si="12"/>
        <v>113.24545981863128</v>
      </c>
      <c r="AA57" s="238" t="str">
        <f t="shared" si="13"/>
        <v>TRUE</v>
      </c>
      <c r="AB57" s="235">
        <f t="shared" si="14"/>
        <v>6724</v>
      </c>
      <c r="AC57" s="235">
        <f t="shared" si="15"/>
        <v>15129</v>
      </c>
      <c r="AD57" s="236">
        <f t="shared" si="16"/>
        <v>12824.53416953323</v>
      </c>
      <c r="AE57" s="235">
        <f t="shared" si="17"/>
        <v>1.3305269001254973</v>
      </c>
      <c r="AF57" s="235">
        <f t="shared" si="18"/>
        <v>76.2335759058154</v>
      </c>
      <c r="AG57" s="236">
        <f t="shared" si="19"/>
        <v>1.1067455607141592</v>
      </c>
      <c r="AH57" s="235">
        <f t="shared" si="20"/>
        <v>63.411849623761128</v>
      </c>
    </row>
    <row r="58" spans="5:34" x14ac:dyDescent="0.25">
      <c r="E58" s="222">
        <v>34</v>
      </c>
      <c r="F58" s="223">
        <v>45</v>
      </c>
      <c r="G58" s="224">
        <v>115</v>
      </c>
      <c r="H58" s="232">
        <f>R58</f>
        <v>-32.470428439608582</v>
      </c>
      <c r="I58" s="232">
        <f>$C$3 - AF58 - Y58</f>
        <v>-99.647250936800916</v>
      </c>
      <c r="J58" s="232">
        <f>AH58-$C$4</f>
        <v>-9.5881503762388718</v>
      </c>
      <c r="K58" s="68">
        <f t="shared" si="0"/>
        <v>-32.470428439608582</v>
      </c>
      <c r="L58" s="68">
        <f t="shared" si="1"/>
        <v>-40</v>
      </c>
      <c r="M58" s="68">
        <f t="shared" si="2"/>
        <v>-9.5881503762388718</v>
      </c>
      <c r="N58" s="226">
        <f>E58*COS(RADIANS($C$2)) + G58*SIN(RADIANS($C$2))</f>
        <v>101.17342493512871</v>
      </c>
      <c r="O58" s="226">
        <f>F58</f>
        <v>45</v>
      </c>
      <c r="P58" s="226">
        <f>-E58*SIN(RADIANS($C$2)) + G58*COS(RADIANS($C$2))</f>
        <v>-64.38119358085774</v>
      </c>
      <c r="Q58" s="227">
        <f t="shared" si="3"/>
        <v>-0.56671588580437449</v>
      </c>
      <c r="R58" s="227">
        <f t="shared" si="4"/>
        <v>-32.470428439608582</v>
      </c>
      <c r="S58" s="236">
        <f t="shared" si="5"/>
        <v>119.92080720208649</v>
      </c>
      <c r="T58" s="236">
        <f t="shared" si="6"/>
        <v>45</v>
      </c>
      <c r="U58" s="236">
        <f t="shared" si="7"/>
        <v>0</v>
      </c>
      <c r="V58" s="237">
        <f t="shared" si="8"/>
        <v>103.92080720208649</v>
      </c>
      <c r="W58" s="237">
        <f t="shared" si="9"/>
        <v>45</v>
      </c>
      <c r="X58" s="235">
        <f t="shared" si="10"/>
        <v>0.40864571928268267</v>
      </c>
      <c r="Y58" s="235">
        <f t="shared" si="11"/>
        <v>23.413675030985519</v>
      </c>
      <c r="Z58" s="235">
        <f t="shared" si="12"/>
        <v>113.24545981863128</v>
      </c>
      <c r="AA58" s="238" t="str">
        <f t="shared" si="13"/>
        <v>TRUE</v>
      </c>
      <c r="AB58" s="235">
        <f t="shared" si="14"/>
        <v>6724</v>
      </c>
      <c r="AC58" s="235">
        <f t="shared" si="15"/>
        <v>15129</v>
      </c>
      <c r="AD58" s="236">
        <f t="shared" si="16"/>
        <v>12824.53416953323</v>
      </c>
      <c r="AE58" s="235">
        <f t="shared" si="17"/>
        <v>1.3305269001254973</v>
      </c>
      <c r="AF58" s="235">
        <f t="shared" si="18"/>
        <v>76.2335759058154</v>
      </c>
      <c r="AG58" s="236">
        <f t="shared" si="19"/>
        <v>1.1067455607141592</v>
      </c>
      <c r="AH58" s="235">
        <f t="shared" si="20"/>
        <v>63.411849623761128</v>
      </c>
    </row>
    <row r="59" spans="5:34" x14ac:dyDescent="0.25">
      <c r="E59" s="222">
        <v>34</v>
      </c>
      <c r="F59" s="223">
        <v>45</v>
      </c>
      <c r="G59" s="224">
        <v>115</v>
      </c>
      <c r="H59" s="232">
        <f>R59</f>
        <v>-32.470428439608582</v>
      </c>
      <c r="I59" s="232">
        <f>$C$3 - AF59 - Y59</f>
        <v>-99.647250936800916</v>
      </c>
      <c r="J59" s="232">
        <f>AH59-$C$4</f>
        <v>-9.5881503762388718</v>
      </c>
      <c r="K59" s="68">
        <f t="shared" si="0"/>
        <v>-32.470428439608582</v>
      </c>
      <c r="L59" s="68">
        <f t="shared" si="1"/>
        <v>-40</v>
      </c>
      <c r="M59" s="68">
        <f t="shared" si="2"/>
        <v>-9.5881503762388718</v>
      </c>
      <c r="N59" s="226">
        <f>E59*COS(RADIANS($C$2)) + G59*SIN(RADIANS($C$2))</f>
        <v>101.17342493512871</v>
      </c>
      <c r="O59" s="226">
        <f>F59</f>
        <v>45</v>
      </c>
      <c r="P59" s="226">
        <f>-E59*SIN(RADIANS($C$2)) + G59*COS(RADIANS($C$2))</f>
        <v>-64.38119358085774</v>
      </c>
      <c r="Q59" s="227">
        <f t="shared" si="3"/>
        <v>-0.56671588580437449</v>
      </c>
      <c r="R59" s="227">
        <f t="shared" si="4"/>
        <v>-32.470428439608582</v>
      </c>
      <c r="S59" s="236">
        <f t="shared" si="5"/>
        <v>119.92080720208649</v>
      </c>
      <c r="T59" s="236">
        <f t="shared" si="6"/>
        <v>45</v>
      </c>
      <c r="U59" s="236">
        <f t="shared" si="7"/>
        <v>0</v>
      </c>
      <c r="V59" s="237">
        <f t="shared" si="8"/>
        <v>103.92080720208649</v>
      </c>
      <c r="W59" s="237">
        <f t="shared" si="9"/>
        <v>45</v>
      </c>
      <c r="X59" s="235">
        <f t="shared" si="10"/>
        <v>0.40864571928268267</v>
      </c>
      <c r="Y59" s="235">
        <f t="shared" si="11"/>
        <v>23.413675030985519</v>
      </c>
      <c r="Z59" s="235">
        <f t="shared" si="12"/>
        <v>113.24545981863128</v>
      </c>
      <c r="AA59" s="238" t="str">
        <f t="shared" si="13"/>
        <v>TRUE</v>
      </c>
      <c r="AB59" s="235">
        <f t="shared" si="14"/>
        <v>6724</v>
      </c>
      <c r="AC59" s="235">
        <f t="shared" si="15"/>
        <v>15129</v>
      </c>
      <c r="AD59" s="236">
        <f t="shared" si="16"/>
        <v>12824.53416953323</v>
      </c>
      <c r="AE59" s="235">
        <f t="shared" si="17"/>
        <v>1.3305269001254973</v>
      </c>
      <c r="AF59" s="235">
        <f t="shared" si="18"/>
        <v>76.2335759058154</v>
      </c>
      <c r="AG59" s="236">
        <f t="shared" si="19"/>
        <v>1.1067455607141592</v>
      </c>
      <c r="AH59" s="235">
        <f t="shared" si="20"/>
        <v>63.411849623761128</v>
      </c>
    </row>
    <row r="60" spans="5:34" x14ac:dyDescent="0.25">
      <c r="E60" s="222">
        <v>34</v>
      </c>
      <c r="F60" s="223">
        <v>45</v>
      </c>
      <c r="G60" s="224">
        <v>115</v>
      </c>
      <c r="H60" s="232">
        <f>R60</f>
        <v>-32.470428439608582</v>
      </c>
      <c r="I60" s="232">
        <f>$C$3 - AF60 - Y60</f>
        <v>-99.647250936800916</v>
      </c>
      <c r="J60" s="232">
        <f>AH60-$C$4</f>
        <v>-9.5881503762388718</v>
      </c>
      <c r="K60" s="68">
        <f t="shared" si="0"/>
        <v>-32.470428439608582</v>
      </c>
      <c r="L60" s="68">
        <f t="shared" si="1"/>
        <v>-40</v>
      </c>
      <c r="M60" s="68">
        <f t="shared" si="2"/>
        <v>-9.5881503762388718</v>
      </c>
      <c r="N60" s="226">
        <f>E60*COS(RADIANS($C$2)) + G60*SIN(RADIANS($C$2))</f>
        <v>101.17342493512871</v>
      </c>
      <c r="O60" s="226">
        <f>F60</f>
        <v>45</v>
      </c>
      <c r="P60" s="226">
        <f>-E60*SIN(RADIANS($C$2)) + G60*COS(RADIANS($C$2))</f>
        <v>-64.38119358085774</v>
      </c>
      <c r="Q60" s="227">
        <f t="shared" si="3"/>
        <v>-0.56671588580437449</v>
      </c>
      <c r="R60" s="227">
        <f t="shared" si="4"/>
        <v>-32.470428439608582</v>
      </c>
      <c r="S60" s="236">
        <f t="shared" si="5"/>
        <v>119.92080720208649</v>
      </c>
      <c r="T60" s="236">
        <f t="shared" si="6"/>
        <v>45</v>
      </c>
      <c r="U60" s="236">
        <f t="shared" si="7"/>
        <v>0</v>
      </c>
      <c r="V60" s="237">
        <f t="shared" si="8"/>
        <v>103.92080720208649</v>
      </c>
      <c r="W60" s="237">
        <f t="shared" si="9"/>
        <v>45</v>
      </c>
      <c r="X60" s="235">
        <f t="shared" si="10"/>
        <v>0.40864571928268267</v>
      </c>
      <c r="Y60" s="235">
        <f t="shared" si="11"/>
        <v>23.413675030985519</v>
      </c>
      <c r="Z60" s="235">
        <f t="shared" si="12"/>
        <v>113.24545981863128</v>
      </c>
      <c r="AA60" s="238" t="str">
        <f t="shared" si="13"/>
        <v>TRUE</v>
      </c>
      <c r="AB60" s="235">
        <f t="shared" si="14"/>
        <v>6724</v>
      </c>
      <c r="AC60" s="235">
        <f t="shared" si="15"/>
        <v>15129</v>
      </c>
      <c r="AD60" s="236">
        <f t="shared" si="16"/>
        <v>12824.53416953323</v>
      </c>
      <c r="AE60" s="235">
        <f t="shared" si="17"/>
        <v>1.3305269001254973</v>
      </c>
      <c r="AF60" s="235">
        <f t="shared" si="18"/>
        <v>76.2335759058154</v>
      </c>
      <c r="AG60" s="236">
        <f t="shared" si="19"/>
        <v>1.1067455607141592</v>
      </c>
      <c r="AH60" s="235">
        <f t="shared" si="20"/>
        <v>63.411849623761128</v>
      </c>
    </row>
    <row r="61" spans="5:34" x14ac:dyDescent="0.25">
      <c r="E61" s="222">
        <v>34</v>
      </c>
      <c r="F61" s="223">
        <v>45</v>
      </c>
      <c r="G61" s="224">
        <v>115</v>
      </c>
      <c r="H61" s="232">
        <f>R61</f>
        <v>-32.470428439608582</v>
      </c>
      <c r="I61" s="232">
        <f>$C$3 - AF61 - Y61</f>
        <v>-99.647250936800916</v>
      </c>
      <c r="J61" s="232">
        <f>AH61-$C$4</f>
        <v>-9.5881503762388718</v>
      </c>
      <c r="K61" s="68">
        <f t="shared" si="0"/>
        <v>-32.470428439608582</v>
      </c>
      <c r="L61" s="68">
        <f t="shared" si="1"/>
        <v>-40</v>
      </c>
      <c r="M61" s="68">
        <f t="shared" si="2"/>
        <v>-9.5881503762388718</v>
      </c>
      <c r="N61" s="226">
        <f>E61*COS(RADIANS($C$2)) + G61*SIN(RADIANS($C$2))</f>
        <v>101.17342493512871</v>
      </c>
      <c r="O61" s="226">
        <f>F61</f>
        <v>45</v>
      </c>
      <c r="P61" s="226">
        <f>-E61*SIN(RADIANS($C$2)) + G61*COS(RADIANS($C$2))</f>
        <v>-64.38119358085774</v>
      </c>
      <c r="Q61" s="227">
        <f t="shared" si="3"/>
        <v>-0.56671588580437449</v>
      </c>
      <c r="R61" s="227">
        <f t="shared" si="4"/>
        <v>-32.470428439608582</v>
      </c>
      <c r="S61" s="236">
        <f t="shared" si="5"/>
        <v>119.92080720208649</v>
      </c>
      <c r="T61" s="236">
        <f t="shared" si="6"/>
        <v>45</v>
      </c>
      <c r="U61" s="236">
        <f t="shared" si="7"/>
        <v>0</v>
      </c>
      <c r="V61" s="237">
        <f t="shared" si="8"/>
        <v>103.92080720208649</v>
      </c>
      <c r="W61" s="237">
        <f t="shared" si="9"/>
        <v>45</v>
      </c>
      <c r="X61" s="235">
        <f t="shared" si="10"/>
        <v>0.40864571928268267</v>
      </c>
      <c r="Y61" s="235">
        <f t="shared" si="11"/>
        <v>23.413675030985519</v>
      </c>
      <c r="Z61" s="235">
        <f t="shared" si="12"/>
        <v>113.24545981863128</v>
      </c>
      <c r="AA61" s="238" t="str">
        <f t="shared" si="13"/>
        <v>TRUE</v>
      </c>
      <c r="AB61" s="235">
        <f t="shared" si="14"/>
        <v>6724</v>
      </c>
      <c r="AC61" s="235">
        <f t="shared" si="15"/>
        <v>15129</v>
      </c>
      <c r="AD61" s="236">
        <f t="shared" si="16"/>
        <v>12824.53416953323</v>
      </c>
      <c r="AE61" s="235">
        <f t="shared" si="17"/>
        <v>1.3305269001254973</v>
      </c>
      <c r="AF61" s="235">
        <f t="shared" si="18"/>
        <v>76.2335759058154</v>
      </c>
      <c r="AG61" s="236">
        <f t="shared" si="19"/>
        <v>1.1067455607141592</v>
      </c>
      <c r="AH61" s="235">
        <f t="shared" si="20"/>
        <v>63.411849623761128</v>
      </c>
    </row>
    <row r="62" spans="5:34" x14ac:dyDescent="0.25">
      <c r="E62" s="222">
        <v>34</v>
      </c>
      <c r="F62" s="223">
        <v>45</v>
      </c>
      <c r="G62" s="224">
        <v>115</v>
      </c>
      <c r="H62" s="232">
        <f>R62</f>
        <v>-32.470428439608582</v>
      </c>
      <c r="I62" s="232">
        <f>$C$3 - AF62 - Y62</f>
        <v>-99.647250936800916</v>
      </c>
      <c r="J62" s="232">
        <f>AH62-$C$4</f>
        <v>-9.5881503762388718</v>
      </c>
      <c r="K62" s="68">
        <f t="shared" si="0"/>
        <v>-32.470428439608582</v>
      </c>
      <c r="L62" s="68">
        <f t="shared" si="1"/>
        <v>-40</v>
      </c>
      <c r="M62" s="68">
        <f t="shared" si="2"/>
        <v>-9.5881503762388718</v>
      </c>
      <c r="N62" s="226">
        <f>E62*COS(RADIANS($C$2)) + G62*SIN(RADIANS($C$2))</f>
        <v>101.17342493512871</v>
      </c>
      <c r="O62" s="226">
        <f>F62</f>
        <v>45</v>
      </c>
      <c r="P62" s="226">
        <f>-E62*SIN(RADIANS($C$2)) + G62*COS(RADIANS($C$2))</f>
        <v>-64.38119358085774</v>
      </c>
      <c r="Q62" s="227">
        <f t="shared" si="3"/>
        <v>-0.56671588580437449</v>
      </c>
      <c r="R62" s="227">
        <f t="shared" si="4"/>
        <v>-32.470428439608582</v>
      </c>
      <c r="S62" s="236">
        <f t="shared" si="5"/>
        <v>119.92080720208649</v>
      </c>
      <c r="T62" s="236">
        <f t="shared" si="6"/>
        <v>45</v>
      </c>
      <c r="U62" s="236">
        <f t="shared" si="7"/>
        <v>0</v>
      </c>
      <c r="V62" s="237">
        <f t="shared" si="8"/>
        <v>103.92080720208649</v>
      </c>
      <c r="W62" s="237">
        <f t="shared" si="9"/>
        <v>45</v>
      </c>
      <c r="X62" s="235">
        <f t="shared" si="10"/>
        <v>0.40864571928268267</v>
      </c>
      <c r="Y62" s="235">
        <f t="shared" si="11"/>
        <v>23.413675030985519</v>
      </c>
      <c r="Z62" s="235">
        <f t="shared" si="12"/>
        <v>113.24545981863128</v>
      </c>
      <c r="AA62" s="238" t="str">
        <f t="shared" si="13"/>
        <v>TRUE</v>
      </c>
      <c r="AB62" s="235">
        <f t="shared" si="14"/>
        <v>6724</v>
      </c>
      <c r="AC62" s="235">
        <f t="shared" si="15"/>
        <v>15129</v>
      </c>
      <c r="AD62" s="236">
        <f t="shared" si="16"/>
        <v>12824.53416953323</v>
      </c>
      <c r="AE62" s="235">
        <f t="shared" si="17"/>
        <v>1.3305269001254973</v>
      </c>
      <c r="AF62" s="235">
        <f t="shared" si="18"/>
        <v>76.2335759058154</v>
      </c>
      <c r="AG62" s="236">
        <f t="shared" si="19"/>
        <v>1.1067455607141592</v>
      </c>
      <c r="AH62" s="235">
        <f t="shared" si="20"/>
        <v>63.411849623761128</v>
      </c>
    </row>
    <row r="63" spans="5:34" x14ac:dyDescent="0.25">
      <c r="E63" s="222">
        <v>34</v>
      </c>
      <c r="F63" s="223">
        <v>45</v>
      </c>
      <c r="G63" s="224">
        <v>115</v>
      </c>
      <c r="H63" s="232">
        <f>R63</f>
        <v>-32.470428439608582</v>
      </c>
      <c r="I63" s="232">
        <f>$C$3 - AF63 - Y63</f>
        <v>-99.647250936800916</v>
      </c>
      <c r="J63" s="232">
        <f>AH63-$C$4</f>
        <v>-9.5881503762388718</v>
      </c>
      <c r="K63" s="68">
        <f t="shared" si="0"/>
        <v>-32.470428439608582</v>
      </c>
      <c r="L63" s="68">
        <f t="shared" si="1"/>
        <v>-40</v>
      </c>
      <c r="M63" s="68">
        <f t="shared" si="2"/>
        <v>-9.5881503762388718</v>
      </c>
      <c r="N63" s="226">
        <f>E63*COS(RADIANS($C$2)) + G63*SIN(RADIANS($C$2))</f>
        <v>101.17342493512871</v>
      </c>
      <c r="O63" s="226">
        <f>F63</f>
        <v>45</v>
      </c>
      <c r="P63" s="226">
        <f>-E63*SIN(RADIANS($C$2)) + G63*COS(RADIANS($C$2))</f>
        <v>-64.38119358085774</v>
      </c>
      <c r="Q63" s="227">
        <f t="shared" si="3"/>
        <v>-0.56671588580437449</v>
      </c>
      <c r="R63" s="227">
        <f t="shared" si="4"/>
        <v>-32.470428439608582</v>
      </c>
      <c r="S63" s="236">
        <f t="shared" si="5"/>
        <v>119.92080720208649</v>
      </c>
      <c r="T63" s="236">
        <f t="shared" si="6"/>
        <v>45</v>
      </c>
      <c r="U63" s="236">
        <f t="shared" si="7"/>
        <v>0</v>
      </c>
      <c r="V63" s="237">
        <f t="shared" si="8"/>
        <v>103.92080720208649</v>
      </c>
      <c r="W63" s="237">
        <f t="shared" si="9"/>
        <v>45</v>
      </c>
      <c r="X63" s="235">
        <f t="shared" si="10"/>
        <v>0.40864571928268267</v>
      </c>
      <c r="Y63" s="235">
        <f t="shared" si="11"/>
        <v>23.413675030985519</v>
      </c>
      <c r="Z63" s="235">
        <f t="shared" si="12"/>
        <v>113.24545981863128</v>
      </c>
      <c r="AA63" s="238" t="str">
        <f t="shared" si="13"/>
        <v>TRUE</v>
      </c>
      <c r="AB63" s="235">
        <f t="shared" si="14"/>
        <v>6724</v>
      </c>
      <c r="AC63" s="235">
        <f t="shared" si="15"/>
        <v>15129</v>
      </c>
      <c r="AD63" s="236">
        <f t="shared" si="16"/>
        <v>12824.53416953323</v>
      </c>
      <c r="AE63" s="235">
        <f t="shared" si="17"/>
        <v>1.3305269001254973</v>
      </c>
      <c r="AF63" s="235">
        <f t="shared" si="18"/>
        <v>76.2335759058154</v>
      </c>
      <c r="AG63" s="236">
        <f t="shared" si="19"/>
        <v>1.1067455607141592</v>
      </c>
      <c r="AH63" s="235">
        <f t="shared" si="20"/>
        <v>63.411849623761128</v>
      </c>
    </row>
    <row r="64" spans="5:34" x14ac:dyDescent="0.25">
      <c r="E64" s="222">
        <v>34</v>
      </c>
      <c r="F64" s="223">
        <v>45</v>
      </c>
      <c r="G64" s="224">
        <v>115</v>
      </c>
      <c r="H64" s="232">
        <f>R64</f>
        <v>-32.470428439608582</v>
      </c>
      <c r="I64" s="232">
        <f>$C$3 - AF64 - Y64</f>
        <v>-99.647250936800916</v>
      </c>
      <c r="J64" s="232">
        <f>AH64-$C$4</f>
        <v>-9.5881503762388718</v>
      </c>
      <c r="K64" s="68">
        <f t="shared" si="0"/>
        <v>-32.470428439608582</v>
      </c>
      <c r="L64" s="68">
        <f t="shared" si="1"/>
        <v>-40</v>
      </c>
      <c r="M64" s="68">
        <f t="shared" si="2"/>
        <v>-9.5881503762388718</v>
      </c>
      <c r="N64" s="226">
        <f>E64*COS(RADIANS($C$2)) + G64*SIN(RADIANS($C$2))</f>
        <v>101.17342493512871</v>
      </c>
      <c r="O64" s="226">
        <f>F64</f>
        <v>45</v>
      </c>
      <c r="P64" s="226">
        <f>-E64*SIN(RADIANS($C$2)) + G64*COS(RADIANS($C$2))</f>
        <v>-64.38119358085774</v>
      </c>
      <c r="Q64" s="227">
        <f t="shared" si="3"/>
        <v>-0.56671588580437449</v>
      </c>
      <c r="R64" s="227">
        <f t="shared" si="4"/>
        <v>-32.470428439608582</v>
      </c>
      <c r="S64" s="236">
        <f t="shared" si="5"/>
        <v>119.92080720208649</v>
      </c>
      <c r="T64" s="236">
        <f t="shared" si="6"/>
        <v>45</v>
      </c>
      <c r="U64" s="236">
        <f t="shared" si="7"/>
        <v>0</v>
      </c>
      <c r="V64" s="237">
        <f t="shared" si="8"/>
        <v>103.92080720208649</v>
      </c>
      <c r="W64" s="237">
        <f t="shared" si="9"/>
        <v>45</v>
      </c>
      <c r="X64" s="235">
        <f t="shared" si="10"/>
        <v>0.40864571928268267</v>
      </c>
      <c r="Y64" s="235">
        <f t="shared" si="11"/>
        <v>23.413675030985519</v>
      </c>
      <c r="Z64" s="235">
        <f t="shared" si="12"/>
        <v>113.24545981863128</v>
      </c>
      <c r="AA64" s="238" t="str">
        <f t="shared" si="13"/>
        <v>TRUE</v>
      </c>
      <c r="AB64" s="235">
        <f t="shared" si="14"/>
        <v>6724</v>
      </c>
      <c r="AC64" s="235">
        <f t="shared" si="15"/>
        <v>15129</v>
      </c>
      <c r="AD64" s="236">
        <f t="shared" si="16"/>
        <v>12824.53416953323</v>
      </c>
      <c r="AE64" s="235">
        <f t="shared" si="17"/>
        <v>1.3305269001254973</v>
      </c>
      <c r="AF64" s="235">
        <f t="shared" si="18"/>
        <v>76.2335759058154</v>
      </c>
      <c r="AG64" s="236">
        <f t="shared" si="19"/>
        <v>1.1067455607141592</v>
      </c>
      <c r="AH64" s="235">
        <f t="shared" si="20"/>
        <v>63.411849623761128</v>
      </c>
    </row>
    <row r="65" spans="5:34" x14ac:dyDescent="0.25">
      <c r="E65" s="222">
        <v>34</v>
      </c>
      <c r="F65" s="223">
        <v>45</v>
      </c>
      <c r="G65" s="224">
        <v>115</v>
      </c>
      <c r="H65" s="232">
        <f>R65</f>
        <v>-32.470428439608582</v>
      </c>
      <c r="I65" s="232">
        <f>$C$3 - AF65 - Y65</f>
        <v>-99.647250936800916</v>
      </c>
      <c r="J65" s="232">
        <f>AH65-$C$4</f>
        <v>-9.5881503762388718</v>
      </c>
      <c r="K65" s="68">
        <f t="shared" si="0"/>
        <v>-32.470428439608582</v>
      </c>
      <c r="L65" s="68">
        <f t="shared" si="1"/>
        <v>-40</v>
      </c>
      <c r="M65" s="68">
        <f t="shared" si="2"/>
        <v>-9.5881503762388718</v>
      </c>
      <c r="N65" s="226">
        <f>E65*COS(RADIANS($C$2)) + G65*SIN(RADIANS($C$2))</f>
        <v>101.17342493512871</v>
      </c>
      <c r="O65" s="226">
        <f>F65</f>
        <v>45</v>
      </c>
      <c r="P65" s="226">
        <f>-E65*SIN(RADIANS($C$2)) + G65*COS(RADIANS($C$2))</f>
        <v>-64.38119358085774</v>
      </c>
      <c r="Q65" s="227">
        <f t="shared" si="3"/>
        <v>-0.56671588580437449</v>
      </c>
      <c r="R65" s="227">
        <f t="shared" si="4"/>
        <v>-32.470428439608582</v>
      </c>
      <c r="S65" s="236">
        <f t="shared" si="5"/>
        <v>119.92080720208649</v>
      </c>
      <c r="T65" s="236">
        <f t="shared" si="6"/>
        <v>45</v>
      </c>
      <c r="U65" s="236">
        <f t="shared" si="7"/>
        <v>0</v>
      </c>
      <c r="V65" s="237">
        <f t="shared" si="8"/>
        <v>103.92080720208649</v>
      </c>
      <c r="W65" s="237">
        <f t="shared" si="9"/>
        <v>45</v>
      </c>
      <c r="X65" s="235">
        <f t="shared" si="10"/>
        <v>0.40864571928268267</v>
      </c>
      <c r="Y65" s="235">
        <f t="shared" si="11"/>
        <v>23.413675030985519</v>
      </c>
      <c r="Z65" s="235">
        <f t="shared" si="12"/>
        <v>113.24545981863128</v>
      </c>
      <c r="AA65" s="238" t="str">
        <f t="shared" si="13"/>
        <v>TRUE</v>
      </c>
      <c r="AB65" s="235">
        <f t="shared" si="14"/>
        <v>6724</v>
      </c>
      <c r="AC65" s="235">
        <f t="shared" si="15"/>
        <v>15129</v>
      </c>
      <c r="AD65" s="236">
        <f t="shared" si="16"/>
        <v>12824.53416953323</v>
      </c>
      <c r="AE65" s="235">
        <f t="shared" si="17"/>
        <v>1.3305269001254973</v>
      </c>
      <c r="AF65" s="235">
        <f t="shared" si="18"/>
        <v>76.2335759058154</v>
      </c>
      <c r="AG65" s="236">
        <f t="shared" si="19"/>
        <v>1.1067455607141592</v>
      </c>
      <c r="AH65" s="235">
        <f t="shared" si="20"/>
        <v>63.411849623761128</v>
      </c>
    </row>
    <row r="66" spans="5:34" x14ac:dyDescent="0.25">
      <c r="E66" s="222">
        <v>34</v>
      </c>
      <c r="F66" s="223">
        <v>43</v>
      </c>
      <c r="G66" s="224">
        <v>115</v>
      </c>
      <c r="H66" s="232">
        <f>R66</f>
        <v>-32.470428439608582</v>
      </c>
      <c r="I66" s="232">
        <f>$C$3 - AF66 - Y66</f>
        <v>-99.177317498373299</v>
      </c>
      <c r="J66" s="232">
        <f>AH66-$C$4</f>
        <v>-10.148553035018665</v>
      </c>
      <c r="K66" s="68">
        <f t="shared" si="0"/>
        <v>-32.470428439608582</v>
      </c>
      <c r="L66" s="68">
        <f t="shared" si="1"/>
        <v>-40</v>
      </c>
      <c r="M66" s="68">
        <f t="shared" si="2"/>
        <v>-10.148553035018665</v>
      </c>
      <c r="N66" s="226">
        <f>E66*COS(RADIANS($C$2)) + G66*SIN(RADIANS($C$2))</f>
        <v>101.17342493512871</v>
      </c>
      <c r="O66" s="226">
        <f>F66</f>
        <v>43</v>
      </c>
      <c r="P66" s="226">
        <f>-E66*SIN(RADIANS($C$2)) + G66*COS(RADIANS($C$2))</f>
        <v>-64.38119358085774</v>
      </c>
      <c r="Q66" s="227">
        <f t="shared" si="3"/>
        <v>-0.56671588580437449</v>
      </c>
      <c r="R66" s="227">
        <f t="shared" si="4"/>
        <v>-32.470428439608582</v>
      </c>
      <c r="S66" s="236">
        <f t="shared" si="5"/>
        <v>119.92080720208649</v>
      </c>
      <c r="T66" s="236">
        <f t="shared" si="6"/>
        <v>43</v>
      </c>
      <c r="U66" s="236">
        <f t="shared" si="7"/>
        <v>0</v>
      </c>
      <c r="V66" s="237">
        <f t="shared" si="8"/>
        <v>103.92080720208649</v>
      </c>
      <c r="W66" s="237">
        <f t="shared" si="9"/>
        <v>43</v>
      </c>
      <c r="X66" s="235">
        <f t="shared" si="10"/>
        <v>0.39232606755827887</v>
      </c>
      <c r="Y66" s="235">
        <f t="shared" si="11"/>
        <v>22.478627864053784</v>
      </c>
      <c r="Z66" s="235">
        <f t="shared" si="12"/>
        <v>112.46570219197154</v>
      </c>
      <c r="AA66" s="238" t="str">
        <f t="shared" si="13"/>
        <v>TRUE</v>
      </c>
      <c r="AB66" s="235">
        <f t="shared" si="14"/>
        <v>6724</v>
      </c>
      <c r="AC66" s="235">
        <f t="shared" si="15"/>
        <v>15129</v>
      </c>
      <c r="AD66" s="236">
        <f t="shared" si="16"/>
        <v>12648.534169533234</v>
      </c>
      <c r="AE66" s="235">
        <f t="shared" si="17"/>
        <v>1.3386446660841211</v>
      </c>
      <c r="AF66" s="235">
        <f t="shared" si="18"/>
        <v>76.698689634319521</v>
      </c>
      <c r="AG66" s="236">
        <f t="shared" si="19"/>
        <v>1.0969646891815215</v>
      </c>
      <c r="AH66" s="235">
        <f t="shared" si="20"/>
        <v>62.851446964981335</v>
      </c>
    </row>
    <row r="67" spans="5:34" x14ac:dyDescent="0.25">
      <c r="E67" s="222">
        <v>34</v>
      </c>
      <c r="F67" s="223">
        <v>42</v>
      </c>
      <c r="G67" s="224">
        <v>115</v>
      </c>
      <c r="H67" s="232">
        <f>R67</f>
        <v>-32.470428439608582</v>
      </c>
      <c r="I67" s="232">
        <f>$C$3 - AF67 - Y67</f>
        <v>-98.931368125848124</v>
      </c>
      <c r="J67" s="232">
        <f>AH67-$C$4</f>
        <v>-10.420207712090203</v>
      </c>
      <c r="K67" s="68">
        <f t="shared" si="0"/>
        <v>-32.470428439608582</v>
      </c>
      <c r="L67" s="68">
        <f t="shared" si="1"/>
        <v>-40</v>
      </c>
      <c r="M67" s="68">
        <f t="shared" si="2"/>
        <v>-10.420207712090203</v>
      </c>
      <c r="N67" s="226">
        <f>E67*COS(RADIANS($C$2)) + G67*SIN(RADIANS($C$2))</f>
        <v>101.17342493512871</v>
      </c>
      <c r="O67" s="226">
        <f>F67</f>
        <v>42</v>
      </c>
      <c r="P67" s="226">
        <f>-E67*SIN(RADIANS($C$2)) + G67*COS(RADIANS($C$2))</f>
        <v>-64.38119358085774</v>
      </c>
      <c r="Q67" s="227">
        <f t="shared" si="3"/>
        <v>-0.56671588580437449</v>
      </c>
      <c r="R67" s="227">
        <f t="shared" si="4"/>
        <v>-32.470428439608582</v>
      </c>
      <c r="S67" s="236">
        <f t="shared" si="5"/>
        <v>119.92080720208649</v>
      </c>
      <c r="T67" s="236">
        <f t="shared" si="6"/>
        <v>42</v>
      </c>
      <c r="U67" s="236">
        <f t="shared" si="7"/>
        <v>0</v>
      </c>
      <c r="V67" s="237">
        <f t="shared" si="8"/>
        <v>103.92080720208649</v>
      </c>
      <c r="W67" s="237">
        <f t="shared" si="9"/>
        <v>42</v>
      </c>
      <c r="X67" s="235">
        <f t="shared" si="10"/>
        <v>0.38408219216277373</v>
      </c>
      <c r="Y67" s="235">
        <f t="shared" si="11"/>
        <v>22.006288597059598</v>
      </c>
      <c r="Z67" s="235">
        <f t="shared" si="12"/>
        <v>112.08717218992203</v>
      </c>
      <c r="AA67" s="238" t="str">
        <f t="shared" si="13"/>
        <v>TRUE</v>
      </c>
      <c r="AB67" s="235">
        <f t="shared" si="14"/>
        <v>6724</v>
      </c>
      <c r="AC67" s="235">
        <f t="shared" si="15"/>
        <v>15129</v>
      </c>
      <c r="AD67" s="236">
        <f t="shared" si="16"/>
        <v>12563.53416953323</v>
      </c>
      <c r="AE67" s="235">
        <f t="shared" si="17"/>
        <v>1.342595915135848</v>
      </c>
      <c r="AF67" s="235">
        <f t="shared" si="18"/>
        <v>76.92507952878853</v>
      </c>
      <c r="AG67" s="236">
        <f t="shared" si="19"/>
        <v>1.0922234206381811</v>
      </c>
      <c r="AH67" s="235">
        <f t="shared" si="20"/>
        <v>62.579792287909797</v>
      </c>
    </row>
    <row r="68" spans="5:34" x14ac:dyDescent="0.25">
      <c r="E68" s="222">
        <v>34</v>
      </c>
      <c r="F68" s="223">
        <v>40</v>
      </c>
      <c r="G68" s="224">
        <v>115</v>
      </c>
      <c r="H68" s="232">
        <f>R68</f>
        <v>-32.470428439608582</v>
      </c>
      <c r="I68" s="232">
        <f>$C$3 - AF68 - Y68</f>
        <v>-98.417355109083815</v>
      </c>
      <c r="J68" s="232">
        <f>AH68-$C$4</f>
        <v>-10.946244268999877</v>
      </c>
      <c r="K68" s="68">
        <f t="shared" si="0"/>
        <v>-32.470428439608582</v>
      </c>
      <c r="L68" s="68">
        <f t="shared" si="1"/>
        <v>-40</v>
      </c>
      <c r="M68" s="68">
        <f t="shared" si="2"/>
        <v>-10.946244268999877</v>
      </c>
      <c r="N68" s="226">
        <f>E68*COS(RADIANS($C$2)) + G68*SIN(RADIANS($C$2))</f>
        <v>101.17342493512871</v>
      </c>
      <c r="O68" s="226">
        <f>F68</f>
        <v>40</v>
      </c>
      <c r="P68" s="226">
        <f>-E68*SIN(RADIANS($C$2)) + G68*COS(RADIANS($C$2))</f>
        <v>-64.38119358085774</v>
      </c>
      <c r="Q68" s="227">
        <f t="shared" si="3"/>
        <v>-0.56671588580437449</v>
      </c>
      <c r="R68" s="227">
        <f t="shared" si="4"/>
        <v>-32.470428439608582</v>
      </c>
      <c r="S68" s="236">
        <f t="shared" si="5"/>
        <v>119.92080720208649</v>
      </c>
      <c r="T68" s="236">
        <f t="shared" si="6"/>
        <v>40</v>
      </c>
      <c r="U68" s="236">
        <f t="shared" si="7"/>
        <v>0</v>
      </c>
      <c r="V68" s="237">
        <f t="shared" si="8"/>
        <v>103.92080720208649</v>
      </c>
      <c r="W68" s="237">
        <f t="shared" si="9"/>
        <v>40</v>
      </c>
      <c r="X68" s="235">
        <f t="shared" si="10"/>
        <v>0.36742913460091736</v>
      </c>
      <c r="Y68" s="235">
        <f t="shared" si="11"/>
        <v>21.052138682776807</v>
      </c>
      <c r="Z68" s="235">
        <f t="shared" si="12"/>
        <v>111.35319559641398</v>
      </c>
      <c r="AA68" s="238" t="str">
        <f t="shared" si="13"/>
        <v>TRUE</v>
      </c>
      <c r="AB68" s="235">
        <f t="shared" si="14"/>
        <v>6724</v>
      </c>
      <c r="AC68" s="235">
        <f t="shared" si="15"/>
        <v>15129</v>
      </c>
      <c r="AD68" s="236">
        <f t="shared" si="16"/>
        <v>12399.53416953323</v>
      </c>
      <c r="AE68" s="235">
        <f t="shared" si="17"/>
        <v>1.3502777531570584</v>
      </c>
      <c r="AF68" s="235">
        <f t="shared" si="18"/>
        <v>77.365216426307015</v>
      </c>
      <c r="AG68" s="236">
        <f t="shared" si="19"/>
        <v>1.0830423507342528</v>
      </c>
      <c r="AH68" s="235">
        <f t="shared" si="20"/>
        <v>62.053755731000123</v>
      </c>
    </row>
    <row r="69" spans="5:34" x14ac:dyDescent="0.25">
      <c r="E69" s="222">
        <v>34</v>
      </c>
      <c r="F69" s="223">
        <v>39</v>
      </c>
      <c r="G69" s="224">
        <v>115</v>
      </c>
      <c r="H69" s="232">
        <f>R69</f>
        <v>-32.470428439608582</v>
      </c>
      <c r="I69" s="232">
        <f>$C$3 - AF69 - Y69</f>
        <v>-98.14923714522304</v>
      </c>
      <c r="J69" s="232">
        <f>AH69-$C$4</f>
        <v>-11.200553702328072</v>
      </c>
      <c r="K69" s="68">
        <f t="shared" si="0"/>
        <v>-32.470428439608582</v>
      </c>
      <c r="L69" s="68">
        <f t="shared" si="1"/>
        <v>-40</v>
      </c>
      <c r="M69" s="68">
        <f t="shared" si="2"/>
        <v>-11.200553702328072</v>
      </c>
      <c r="N69" s="226">
        <f>E69*COS(RADIANS($C$2)) + G69*SIN(RADIANS($C$2))</f>
        <v>101.17342493512871</v>
      </c>
      <c r="O69" s="226">
        <f>F69</f>
        <v>39</v>
      </c>
      <c r="P69" s="226">
        <f>-E69*SIN(RADIANS($C$2)) + G69*COS(RADIANS($C$2))</f>
        <v>-64.38119358085774</v>
      </c>
      <c r="Q69" s="227">
        <f t="shared" si="3"/>
        <v>-0.56671588580437449</v>
      </c>
      <c r="R69" s="227">
        <f t="shared" si="4"/>
        <v>-32.470428439608582</v>
      </c>
      <c r="S69" s="236">
        <f t="shared" si="5"/>
        <v>119.92080720208649</v>
      </c>
      <c r="T69" s="236">
        <f t="shared" si="6"/>
        <v>39</v>
      </c>
      <c r="U69" s="236">
        <f t="shared" si="7"/>
        <v>0</v>
      </c>
      <c r="V69" s="237">
        <f t="shared" si="8"/>
        <v>103.92080720208649</v>
      </c>
      <c r="W69" s="237">
        <f t="shared" si="9"/>
        <v>39</v>
      </c>
      <c r="X69" s="235">
        <f t="shared" si="10"/>
        <v>0.35902118354723078</v>
      </c>
      <c r="Y69" s="235">
        <f t="shared" si="11"/>
        <v>20.570398573047992</v>
      </c>
      <c r="Z69" s="235">
        <f t="shared" si="12"/>
        <v>110.99790164473035</v>
      </c>
      <c r="AA69" s="238" t="str">
        <f t="shared" si="13"/>
        <v>TRUE</v>
      </c>
      <c r="AB69" s="235">
        <f t="shared" si="14"/>
        <v>6724</v>
      </c>
      <c r="AC69" s="235">
        <f t="shared" si="15"/>
        <v>15129</v>
      </c>
      <c r="AD69" s="236">
        <f t="shared" si="16"/>
        <v>12320.534169533232</v>
      </c>
      <c r="AE69" s="235">
        <f t="shared" si="17"/>
        <v>1.354006162957631</v>
      </c>
      <c r="AF69" s="235">
        <f t="shared" si="18"/>
        <v>77.578838572175044</v>
      </c>
      <c r="AG69" s="236">
        <f t="shared" si="19"/>
        <v>1.0786038138037948</v>
      </c>
      <c r="AH69" s="235">
        <f t="shared" si="20"/>
        <v>61.799446297671928</v>
      </c>
    </row>
    <row r="70" spans="5:34" x14ac:dyDescent="0.25">
      <c r="E70" s="222">
        <v>34</v>
      </c>
      <c r="F70" s="223">
        <v>37</v>
      </c>
      <c r="G70" s="224">
        <v>115</v>
      </c>
      <c r="H70" s="232">
        <f>R70</f>
        <v>-32.470428439608582</v>
      </c>
      <c r="I70" s="232">
        <f>$C$3 - AF70 - Y70</f>
        <v>-97.590656910448089</v>
      </c>
      <c r="J70" s="232">
        <f>AH70-$C$4</f>
        <v>-11.691572767728097</v>
      </c>
      <c r="K70" s="68">
        <f t="shared" si="0"/>
        <v>-32.470428439608582</v>
      </c>
      <c r="L70" s="68">
        <f t="shared" si="1"/>
        <v>-40</v>
      </c>
      <c r="M70" s="68">
        <f t="shared" si="2"/>
        <v>-11.691572767728097</v>
      </c>
      <c r="N70" s="226">
        <f>E70*COS(RADIANS($C$2)) + G70*SIN(RADIANS($C$2))</f>
        <v>101.17342493512871</v>
      </c>
      <c r="O70" s="226">
        <f>F70</f>
        <v>37</v>
      </c>
      <c r="P70" s="226">
        <f>-E70*SIN(RADIANS($C$2)) + G70*COS(RADIANS($C$2))</f>
        <v>-64.38119358085774</v>
      </c>
      <c r="Q70" s="227">
        <f t="shared" si="3"/>
        <v>-0.56671588580437449</v>
      </c>
      <c r="R70" s="227">
        <f t="shared" si="4"/>
        <v>-32.470428439608582</v>
      </c>
      <c r="S70" s="236">
        <f t="shared" si="5"/>
        <v>119.92080720208649</v>
      </c>
      <c r="T70" s="236">
        <f t="shared" si="6"/>
        <v>37</v>
      </c>
      <c r="U70" s="236">
        <f t="shared" si="7"/>
        <v>0</v>
      </c>
      <c r="V70" s="237">
        <f t="shared" si="8"/>
        <v>103.92080720208649</v>
      </c>
      <c r="W70" s="237">
        <f t="shared" si="9"/>
        <v>37</v>
      </c>
      <c r="X70" s="235">
        <f t="shared" si="10"/>
        <v>0.34204580516377003</v>
      </c>
      <c r="Y70" s="235">
        <f t="shared" si="11"/>
        <v>19.597781036038082</v>
      </c>
      <c r="Z70" s="235">
        <f t="shared" si="12"/>
        <v>110.31107908788324</v>
      </c>
      <c r="AA70" s="238" t="str">
        <f t="shared" si="13"/>
        <v>TRUE</v>
      </c>
      <c r="AB70" s="235">
        <f t="shared" si="14"/>
        <v>6724</v>
      </c>
      <c r="AC70" s="235">
        <f t="shared" si="15"/>
        <v>15129</v>
      </c>
      <c r="AD70" s="236">
        <f t="shared" si="16"/>
        <v>12168.534169533232</v>
      </c>
      <c r="AE70" s="235">
        <f t="shared" si="17"/>
        <v>1.361232477107706</v>
      </c>
      <c r="AF70" s="235">
        <f t="shared" si="18"/>
        <v>77.992875874410004</v>
      </c>
      <c r="AG70" s="236">
        <f t="shared" si="19"/>
        <v>1.0700339144224991</v>
      </c>
      <c r="AH70" s="235">
        <f t="shared" si="20"/>
        <v>61.308427232271903</v>
      </c>
    </row>
    <row r="71" spans="5:34" x14ac:dyDescent="0.25">
      <c r="E71" s="222">
        <v>34</v>
      </c>
      <c r="F71" s="223">
        <v>39</v>
      </c>
      <c r="G71" s="224">
        <v>115</v>
      </c>
      <c r="H71" s="232">
        <f>R71</f>
        <v>-32.470428439608582</v>
      </c>
      <c r="I71" s="232">
        <f>$C$3 - AF71 - Y71</f>
        <v>-98.14923714522304</v>
      </c>
      <c r="J71" s="232">
        <f>AH71-$C$4</f>
        <v>-11.200553702328072</v>
      </c>
      <c r="K71" s="68">
        <f t="shared" si="0"/>
        <v>-32.470428439608582</v>
      </c>
      <c r="L71" s="68">
        <f t="shared" si="1"/>
        <v>-40</v>
      </c>
      <c r="M71" s="68">
        <f t="shared" si="2"/>
        <v>-11.200553702328072</v>
      </c>
      <c r="N71" s="226">
        <f>E71*COS(RADIANS($C$2)) + G71*SIN(RADIANS($C$2))</f>
        <v>101.17342493512871</v>
      </c>
      <c r="O71" s="226">
        <f>F71</f>
        <v>39</v>
      </c>
      <c r="P71" s="226">
        <f>-E71*SIN(RADIANS($C$2)) + G71*COS(RADIANS($C$2))</f>
        <v>-64.38119358085774</v>
      </c>
      <c r="Q71" s="227">
        <f t="shared" si="3"/>
        <v>-0.56671588580437449</v>
      </c>
      <c r="R71" s="227">
        <f t="shared" si="4"/>
        <v>-32.470428439608582</v>
      </c>
      <c r="S71" s="236">
        <f t="shared" si="5"/>
        <v>119.92080720208649</v>
      </c>
      <c r="T71" s="236">
        <f t="shared" si="6"/>
        <v>39</v>
      </c>
      <c r="U71" s="236">
        <f t="shared" si="7"/>
        <v>0</v>
      </c>
      <c r="V71" s="237">
        <f t="shared" si="8"/>
        <v>103.92080720208649</v>
      </c>
      <c r="W71" s="237">
        <f t="shared" si="9"/>
        <v>39</v>
      </c>
      <c r="X71" s="235">
        <f t="shared" si="10"/>
        <v>0.35902118354723078</v>
      </c>
      <c r="Y71" s="235">
        <f t="shared" si="11"/>
        <v>20.570398573047992</v>
      </c>
      <c r="Z71" s="235">
        <f t="shared" si="12"/>
        <v>110.99790164473035</v>
      </c>
      <c r="AA71" s="238" t="str">
        <f t="shared" si="13"/>
        <v>TRUE</v>
      </c>
      <c r="AB71" s="235">
        <f t="shared" si="14"/>
        <v>6724</v>
      </c>
      <c r="AC71" s="235">
        <f t="shared" si="15"/>
        <v>15129</v>
      </c>
      <c r="AD71" s="236">
        <f t="shared" si="16"/>
        <v>12320.534169533232</v>
      </c>
      <c r="AE71" s="235">
        <f t="shared" si="17"/>
        <v>1.354006162957631</v>
      </c>
      <c r="AF71" s="235">
        <f t="shared" si="18"/>
        <v>77.578838572175044</v>
      </c>
      <c r="AG71" s="236">
        <f t="shared" si="19"/>
        <v>1.0786038138037948</v>
      </c>
      <c r="AH71" s="235">
        <f t="shared" si="20"/>
        <v>61.799446297671928</v>
      </c>
    </row>
    <row r="72" spans="5:34" x14ac:dyDescent="0.25">
      <c r="E72" s="222">
        <v>34</v>
      </c>
      <c r="F72" s="223">
        <v>40</v>
      </c>
      <c r="G72" s="224">
        <v>115</v>
      </c>
      <c r="H72" s="232">
        <f>R72</f>
        <v>-32.470428439608582</v>
      </c>
      <c r="I72" s="232">
        <f>$C$3 - AF72 - Y72</f>
        <v>-98.417355109083815</v>
      </c>
      <c r="J72" s="232">
        <f>AH72-$C$4</f>
        <v>-10.946244268999877</v>
      </c>
      <c r="K72" s="68">
        <f t="shared" si="0"/>
        <v>-32.470428439608582</v>
      </c>
      <c r="L72" s="68">
        <f t="shared" si="1"/>
        <v>-40</v>
      </c>
      <c r="M72" s="68">
        <f t="shared" si="2"/>
        <v>-10.946244268999877</v>
      </c>
      <c r="N72" s="226">
        <f>E72*COS(RADIANS($C$2)) + G72*SIN(RADIANS($C$2))</f>
        <v>101.17342493512871</v>
      </c>
      <c r="O72" s="226">
        <f>F72</f>
        <v>40</v>
      </c>
      <c r="P72" s="226">
        <f>-E72*SIN(RADIANS($C$2)) + G72*COS(RADIANS($C$2))</f>
        <v>-64.38119358085774</v>
      </c>
      <c r="Q72" s="227">
        <f t="shared" si="3"/>
        <v>-0.56671588580437449</v>
      </c>
      <c r="R72" s="227">
        <f t="shared" si="4"/>
        <v>-32.470428439608582</v>
      </c>
      <c r="S72" s="236">
        <f t="shared" si="5"/>
        <v>119.92080720208649</v>
      </c>
      <c r="T72" s="236">
        <f t="shared" si="6"/>
        <v>40</v>
      </c>
      <c r="U72" s="236">
        <f t="shared" si="7"/>
        <v>0</v>
      </c>
      <c r="V72" s="237">
        <f t="shared" si="8"/>
        <v>103.92080720208649</v>
      </c>
      <c r="W72" s="237">
        <f t="shared" si="9"/>
        <v>40</v>
      </c>
      <c r="X72" s="235">
        <f t="shared" si="10"/>
        <v>0.36742913460091736</v>
      </c>
      <c r="Y72" s="235">
        <f t="shared" si="11"/>
        <v>21.052138682776807</v>
      </c>
      <c r="Z72" s="235">
        <f t="shared" si="12"/>
        <v>111.35319559641398</v>
      </c>
      <c r="AA72" s="238" t="str">
        <f t="shared" si="13"/>
        <v>TRUE</v>
      </c>
      <c r="AB72" s="235">
        <f t="shared" si="14"/>
        <v>6724</v>
      </c>
      <c r="AC72" s="235">
        <f t="shared" si="15"/>
        <v>15129</v>
      </c>
      <c r="AD72" s="236">
        <f t="shared" si="16"/>
        <v>12399.53416953323</v>
      </c>
      <c r="AE72" s="235">
        <f t="shared" si="17"/>
        <v>1.3502777531570584</v>
      </c>
      <c r="AF72" s="235">
        <f t="shared" si="18"/>
        <v>77.365216426307015</v>
      </c>
      <c r="AG72" s="236">
        <f t="shared" si="19"/>
        <v>1.0830423507342528</v>
      </c>
      <c r="AH72" s="235">
        <f t="shared" si="20"/>
        <v>62.053755731000123</v>
      </c>
    </row>
    <row r="73" spans="5:34" x14ac:dyDescent="0.25">
      <c r="E73" s="222">
        <v>34</v>
      </c>
      <c r="F73" s="223">
        <v>42</v>
      </c>
      <c r="G73" s="224">
        <v>115</v>
      </c>
      <c r="H73" s="232">
        <f>R73</f>
        <v>-32.470428439608582</v>
      </c>
      <c r="I73" s="232">
        <f>$C$3 - AF73 - Y73</f>
        <v>-98.931368125848124</v>
      </c>
      <c r="J73" s="232">
        <f>AH73-$C$4</f>
        <v>-10.420207712090203</v>
      </c>
      <c r="K73" s="68">
        <f t="shared" si="0"/>
        <v>-32.470428439608582</v>
      </c>
      <c r="L73" s="68">
        <f t="shared" si="1"/>
        <v>-40</v>
      </c>
      <c r="M73" s="68">
        <f t="shared" si="2"/>
        <v>-10.420207712090203</v>
      </c>
      <c r="N73" s="226">
        <f>E73*COS(RADIANS($C$2)) + G73*SIN(RADIANS($C$2))</f>
        <v>101.17342493512871</v>
      </c>
      <c r="O73" s="226">
        <f>F73</f>
        <v>42</v>
      </c>
      <c r="P73" s="226">
        <f>-E73*SIN(RADIANS($C$2)) + G73*COS(RADIANS($C$2))</f>
        <v>-64.38119358085774</v>
      </c>
      <c r="Q73" s="227">
        <f t="shared" si="3"/>
        <v>-0.56671588580437449</v>
      </c>
      <c r="R73" s="227">
        <f t="shared" si="4"/>
        <v>-32.470428439608582</v>
      </c>
      <c r="S73" s="236">
        <f t="shared" si="5"/>
        <v>119.92080720208649</v>
      </c>
      <c r="T73" s="236">
        <f t="shared" si="6"/>
        <v>42</v>
      </c>
      <c r="U73" s="236">
        <f t="shared" si="7"/>
        <v>0</v>
      </c>
      <c r="V73" s="237">
        <f t="shared" si="8"/>
        <v>103.92080720208649</v>
      </c>
      <c r="W73" s="237">
        <f t="shared" si="9"/>
        <v>42</v>
      </c>
      <c r="X73" s="235">
        <f t="shared" si="10"/>
        <v>0.38408219216277373</v>
      </c>
      <c r="Y73" s="235">
        <f t="shared" si="11"/>
        <v>22.006288597059598</v>
      </c>
      <c r="Z73" s="235">
        <f t="shared" si="12"/>
        <v>112.08717218992203</v>
      </c>
      <c r="AA73" s="238" t="str">
        <f t="shared" si="13"/>
        <v>TRUE</v>
      </c>
      <c r="AB73" s="235">
        <f t="shared" si="14"/>
        <v>6724</v>
      </c>
      <c r="AC73" s="235">
        <f t="shared" si="15"/>
        <v>15129</v>
      </c>
      <c r="AD73" s="236">
        <f t="shared" si="16"/>
        <v>12563.53416953323</v>
      </c>
      <c r="AE73" s="235">
        <f t="shared" si="17"/>
        <v>1.342595915135848</v>
      </c>
      <c r="AF73" s="235">
        <f t="shared" si="18"/>
        <v>76.92507952878853</v>
      </c>
      <c r="AG73" s="236">
        <f t="shared" si="19"/>
        <v>1.0922234206381811</v>
      </c>
      <c r="AH73" s="235">
        <f t="shared" si="20"/>
        <v>62.579792287909797</v>
      </c>
    </row>
    <row r="74" spans="5:34" x14ac:dyDescent="0.25">
      <c r="E74" s="222">
        <v>34</v>
      </c>
      <c r="F74" s="223">
        <v>43</v>
      </c>
      <c r="G74" s="224">
        <v>115</v>
      </c>
      <c r="H74" s="232">
        <f>R74</f>
        <v>-32.470428439608582</v>
      </c>
      <c r="I74" s="232">
        <f>$C$3 - AF74 - Y74</f>
        <v>-99.177317498373299</v>
      </c>
      <c r="J74" s="232">
        <f>AH74-$C$4</f>
        <v>-10.148553035018665</v>
      </c>
      <c r="K74" s="68">
        <f t="shared" si="0"/>
        <v>-32.470428439608582</v>
      </c>
      <c r="L74" s="68">
        <f t="shared" si="1"/>
        <v>-40</v>
      </c>
      <c r="M74" s="68">
        <f t="shared" si="2"/>
        <v>-10.148553035018665</v>
      </c>
      <c r="N74" s="226">
        <f>E74*COS(RADIANS($C$2)) + G74*SIN(RADIANS($C$2))</f>
        <v>101.17342493512871</v>
      </c>
      <c r="O74" s="226">
        <f>F74</f>
        <v>43</v>
      </c>
      <c r="P74" s="226">
        <f>-E74*SIN(RADIANS($C$2)) + G74*COS(RADIANS($C$2))</f>
        <v>-64.38119358085774</v>
      </c>
      <c r="Q74" s="227">
        <f t="shared" si="3"/>
        <v>-0.56671588580437449</v>
      </c>
      <c r="R74" s="227">
        <f t="shared" si="4"/>
        <v>-32.470428439608582</v>
      </c>
      <c r="S74" s="236">
        <f t="shared" si="5"/>
        <v>119.92080720208649</v>
      </c>
      <c r="T74" s="236">
        <f t="shared" si="6"/>
        <v>43</v>
      </c>
      <c r="U74" s="236">
        <f t="shared" si="7"/>
        <v>0</v>
      </c>
      <c r="V74" s="237">
        <f t="shared" si="8"/>
        <v>103.92080720208649</v>
      </c>
      <c r="W74" s="237">
        <f t="shared" si="9"/>
        <v>43</v>
      </c>
      <c r="X74" s="235">
        <f t="shared" si="10"/>
        <v>0.39232606755827887</v>
      </c>
      <c r="Y74" s="235">
        <f t="shared" si="11"/>
        <v>22.478627864053784</v>
      </c>
      <c r="Z74" s="235">
        <f t="shared" si="12"/>
        <v>112.46570219197154</v>
      </c>
      <c r="AA74" s="238" t="str">
        <f t="shared" si="13"/>
        <v>TRUE</v>
      </c>
      <c r="AB74" s="235">
        <f t="shared" si="14"/>
        <v>6724</v>
      </c>
      <c r="AC74" s="235">
        <f t="shared" si="15"/>
        <v>15129</v>
      </c>
      <c r="AD74" s="236">
        <f t="shared" si="16"/>
        <v>12648.534169533234</v>
      </c>
      <c r="AE74" s="235">
        <f t="shared" si="17"/>
        <v>1.3386446660841211</v>
      </c>
      <c r="AF74" s="235">
        <f t="shared" si="18"/>
        <v>76.698689634319521</v>
      </c>
      <c r="AG74" s="236">
        <f t="shared" si="19"/>
        <v>1.0969646891815215</v>
      </c>
      <c r="AH74" s="235">
        <f t="shared" si="20"/>
        <v>62.851446964981335</v>
      </c>
    </row>
    <row r="75" spans="5:34" x14ac:dyDescent="0.25">
      <c r="E75" s="222">
        <v>34</v>
      </c>
      <c r="F75" s="223">
        <v>45</v>
      </c>
      <c r="G75" s="224">
        <v>115</v>
      </c>
      <c r="H75" s="232">
        <f>R75</f>
        <v>-32.470428439608582</v>
      </c>
      <c r="I75" s="232">
        <f>$C$3 - AF75 - Y75</f>
        <v>-99.647250936800916</v>
      </c>
      <c r="J75" s="232">
        <f>AH75-$C$4</f>
        <v>-9.5881503762388718</v>
      </c>
      <c r="K75" s="68">
        <f t="shared" si="0"/>
        <v>-32.470428439608582</v>
      </c>
      <c r="L75" s="68">
        <f t="shared" si="1"/>
        <v>-40</v>
      </c>
      <c r="M75" s="68">
        <f t="shared" si="2"/>
        <v>-9.5881503762388718</v>
      </c>
      <c r="N75" s="226">
        <f>E75*COS(RADIANS($C$2)) + G75*SIN(RADIANS($C$2))</f>
        <v>101.17342493512871</v>
      </c>
      <c r="O75" s="226">
        <f>F75</f>
        <v>45</v>
      </c>
      <c r="P75" s="226">
        <f>-E75*SIN(RADIANS($C$2)) + G75*COS(RADIANS($C$2))</f>
        <v>-64.38119358085774</v>
      </c>
      <c r="Q75" s="227">
        <f t="shared" si="3"/>
        <v>-0.56671588580437449</v>
      </c>
      <c r="R75" s="227">
        <f t="shared" si="4"/>
        <v>-32.470428439608582</v>
      </c>
      <c r="S75" s="236">
        <f t="shared" si="5"/>
        <v>119.92080720208649</v>
      </c>
      <c r="T75" s="236">
        <f t="shared" si="6"/>
        <v>45</v>
      </c>
      <c r="U75" s="236">
        <f t="shared" si="7"/>
        <v>0</v>
      </c>
      <c r="V75" s="237">
        <f t="shared" si="8"/>
        <v>103.92080720208649</v>
      </c>
      <c r="W75" s="237">
        <f t="shared" si="9"/>
        <v>45</v>
      </c>
      <c r="X75" s="235">
        <f t="shared" si="10"/>
        <v>0.40864571928268267</v>
      </c>
      <c r="Y75" s="235">
        <f t="shared" si="11"/>
        <v>23.413675030985519</v>
      </c>
      <c r="Z75" s="235">
        <f t="shared" si="12"/>
        <v>113.24545981863128</v>
      </c>
      <c r="AA75" s="238" t="str">
        <f t="shared" si="13"/>
        <v>TRUE</v>
      </c>
      <c r="AB75" s="235">
        <f t="shared" si="14"/>
        <v>6724</v>
      </c>
      <c r="AC75" s="235">
        <f t="shared" si="15"/>
        <v>15129</v>
      </c>
      <c r="AD75" s="236">
        <f t="shared" si="16"/>
        <v>12824.53416953323</v>
      </c>
      <c r="AE75" s="235">
        <f t="shared" si="17"/>
        <v>1.3305269001254973</v>
      </c>
      <c r="AF75" s="235">
        <f t="shared" si="18"/>
        <v>76.2335759058154</v>
      </c>
      <c r="AG75" s="236">
        <f t="shared" si="19"/>
        <v>1.1067455607141592</v>
      </c>
      <c r="AH75" s="235">
        <f t="shared" si="20"/>
        <v>63.411849623761128</v>
      </c>
    </row>
    <row r="76" spans="5:34" x14ac:dyDescent="0.25">
      <c r="E76" s="222">
        <v>34</v>
      </c>
      <c r="F76" s="223">
        <v>45</v>
      </c>
      <c r="G76" s="224">
        <v>115</v>
      </c>
      <c r="H76" s="232">
        <f>R76</f>
        <v>-32.470428439608582</v>
      </c>
      <c r="I76" s="232">
        <f>$C$3 - AF76 - Y76</f>
        <v>-99.647250936800916</v>
      </c>
      <c r="J76" s="232">
        <f>AH76-$C$4</f>
        <v>-9.5881503762388718</v>
      </c>
      <c r="K76" s="68">
        <f t="shared" si="0"/>
        <v>-32.470428439608582</v>
      </c>
      <c r="L76" s="68">
        <f t="shared" si="1"/>
        <v>-40</v>
      </c>
      <c r="M76" s="68">
        <f t="shared" si="2"/>
        <v>-9.5881503762388718</v>
      </c>
      <c r="N76" s="226">
        <f>E76*COS(RADIANS($C$2)) + G76*SIN(RADIANS($C$2))</f>
        <v>101.17342493512871</v>
      </c>
      <c r="O76" s="226">
        <f>F76</f>
        <v>45</v>
      </c>
      <c r="P76" s="226">
        <f>-E76*SIN(RADIANS($C$2)) + G76*COS(RADIANS($C$2))</f>
        <v>-64.38119358085774</v>
      </c>
      <c r="Q76" s="227">
        <f t="shared" si="3"/>
        <v>-0.56671588580437449</v>
      </c>
      <c r="R76" s="227">
        <f t="shared" si="4"/>
        <v>-32.470428439608582</v>
      </c>
      <c r="S76" s="236">
        <f t="shared" si="5"/>
        <v>119.92080720208649</v>
      </c>
      <c r="T76" s="236">
        <f t="shared" si="6"/>
        <v>45</v>
      </c>
      <c r="U76" s="236">
        <f t="shared" si="7"/>
        <v>0</v>
      </c>
      <c r="V76" s="237">
        <f t="shared" si="8"/>
        <v>103.92080720208649</v>
      </c>
      <c r="W76" s="237">
        <f t="shared" si="9"/>
        <v>45</v>
      </c>
      <c r="X76" s="235">
        <f t="shared" si="10"/>
        <v>0.40864571928268267</v>
      </c>
      <c r="Y76" s="235">
        <f t="shared" si="11"/>
        <v>23.413675030985519</v>
      </c>
      <c r="Z76" s="235">
        <f t="shared" si="12"/>
        <v>113.24545981863128</v>
      </c>
      <c r="AA76" s="238" t="str">
        <f t="shared" si="13"/>
        <v>TRUE</v>
      </c>
      <c r="AB76" s="235">
        <f t="shared" si="14"/>
        <v>6724</v>
      </c>
      <c r="AC76" s="235">
        <f t="shared" si="15"/>
        <v>15129</v>
      </c>
      <c r="AD76" s="236">
        <f t="shared" si="16"/>
        <v>12824.53416953323</v>
      </c>
      <c r="AE76" s="235">
        <f t="shared" si="17"/>
        <v>1.3305269001254973</v>
      </c>
      <c r="AF76" s="235">
        <f t="shared" si="18"/>
        <v>76.2335759058154</v>
      </c>
      <c r="AG76" s="236">
        <f t="shared" si="19"/>
        <v>1.1067455607141592</v>
      </c>
      <c r="AH76" s="235">
        <f t="shared" si="20"/>
        <v>63.411849623761128</v>
      </c>
    </row>
    <row r="77" spans="5:34" x14ac:dyDescent="0.25">
      <c r="E77" s="222">
        <v>34</v>
      </c>
      <c r="F77" s="223">
        <v>45</v>
      </c>
      <c r="G77" s="224">
        <v>115</v>
      </c>
      <c r="H77" s="232">
        <f>R77</f>
        <v>-32.470428439608582</v>
      </c>
      <c r="I77" s="232">
        <f>$C$3 - AF77 - Y77</f>
        <v>-99.647250936800916</v>
      </c>
      <c r="J77" s="232">
        <f>AH77-$C$4</f>
        <v>-9.5881503762388718</v>
      </c>
      <c r="K77" s="68">
        <f t="shared" si="0"/>
        <v>-32.470428439608582</v>
      </c>
      <c r="L77" s="68">
        <f t="shared" si="1"/>
        <v>-40</v>
      </c>
      <c r="M77" s="68">
        <f t="shared" si="2"/>
        <v>-9.5881503762388718</v>
      </c>
      <c r="N77" s="226">
        <f>E77*COS(RADIANS($C$2)) + G77*SIN(RADIANS($C$2))</f>
        <v>101.17342493512871</v>
      </c>
      <c r="O77" s="226">
        <f>F77</f>
        <v>45</v>
      </c>
      <c r="P77" s="226">
        <f>-E77*SIN(RADIANS($C$2)) + G77*COS(RADIANS($C$2))</f>
        <v>-64.38119358085774</v>
      </c>
      <c r="Q77" s="227">
        <f t="shared" si="3"/>
        <v>-0.56671588580437449</v>
      </c>
      <c r="R77" s="227">
        <f t="shared" si="4"/>
        <v>-32.470428439608582</v>
      </c>
      <c r="S77" s="236">
        <f t="shared" si="5"/>
        <v>119.92080720208649</v>
      </c>
      <c r="T77" s="236">
        <f t="shared" si="6"/>
        <v>45</v>
      </c>
      <c r="U77" s="236">
        <f t="shared" si="7"/>
        <v>0</v>
      </c>
      <c r="V77" s="237">
        <f t="shared" si="8"/>
        <v>103.92080720208649</v>
      </c>
      <c r="W77" s="237">
        <f t="shared" si="9"/>
        <v>45</v>
      </c>
      <c r="X77" s="235">
        <f t="shared" si="10"/>
        <v>0.40864571928268267</v>
      </c>
      <c r="Y77" s="235">
        <f t="shared" si="11"/>
        <v>23.413675030985519</v>
      </c>
      <c r="Z77" s="235">
        <f t="shared" si="12"/>
        <v>113.24545981863128</v>
      </c>
      <c r="AA77" s="238" t="str">
        <f t="shared" si="13"/>
        <v>TRUE</v>
      </c>
      <c r="AB77" s="235">
        <f t="shared" si="14"/>
        <v>6724</v>
      </c>
      <c r="AC77" s="235">
        <f t="shared" si="15"/>
        <v>15129</v>
      </c>
      <c r="AD77" s="236">
        <f t="shared" si="16"/>
        <v>12824.53416953323</v>
      </c>
      <c r="AE77" s="235">
        <f t="shared" si="17"/>
        <v>1.3305269001254973</v>
      </c>
      <c r="AF77" s="235">
        <f t="shared" si="18"/>
        <v>76.2335759058154</v>
      </c>
      <c r="AG77" s="236">
        <f t="shared" si="19"/>
        <v>1.1067455607141592</v>
      </c>
      <c r="AH77" s="235">
        <f t="shared" si="20"/>
        <v>63.411849623761128</v>
      </c>
    </row>
    <row r="78" spans="5:34" x14ac:dyDescent="0.25">
      <c r="E78" s="222">
        <v>34</v>
      </c>
      <c r="F78" s="223">
        <v>45</v>
      </c>
      <c r="G78" s="224">
        <v>115</v>
      </c>
      <c r="H78" s="232">
        <f>R78</f>
        <v>-32.470428439608582</v>
      </c>
      <c r="I78" s="232">
        <f>$C$3 - AF78 - Y78</f>
        <v>-99.647250936800916</v>
      </c>
      <c r="J78" s="232">
        <f>AH78-$C$4</f>
        <v>-9.5881503762388718</v>
      </c>
      <c r="K78" s="68">
        <f t="shared" si="0"/>
        <v>-32.470428439608582</v>
      </c>
      <c r="L78" s="68">
        <f t="shared" si="1"/>
        <v>-40</v>
      </c>
      <c r="M78" s="68">
        <f t="shared" si="2"/>
        <v>-9.5881503762388718</v>
      </c>
      <c r="N78" s="226">
        <f>E78*COS(RADIANS($C$2)) + G78*SIN(RADIANS($C$2))</f>
        <v>101.17342493512871</v>
      </c>
      <c r="O78" s="226">
        <f>F78</f>
        <v>45</v>
      </c>
      <c r="P78" s="226">
        <f>-E78*SIN(RADIANS($C$2)) + G78*COS(RADIANS($C$2))</f>
        <v>-64.38119358085774</v>
      </c>
      <c r="Q78" s="227">
        <f t="shared" si="3"/>
        <v>-0.56671588580437449</v>
      </c>
      <c r="R78" s="227">
        <f t="shared" si="4"/>
        <v>-32.470428439608582</v>
      </c>
      <c r="S78" s="236">
        <f t="shared" si="5"/>
        <v>119.92080720208649</v>
      </c>
      <c r="T78" s="236">
        <f t="shared" si="6"/>
        <v>45</v>
      </c>
      <c r="U78" s="236">
        <f t="shared" si="7"/>
        <v>0</v>
      </c>
      <c r="V78" s="237">
        <f t="shared" si="8"/>
        <v>103.92080720208649</v>
      </c>
      <c r="W78" s="237">
        <f t="shared" si="9"/>
        <v>45</v>
      </c>
      <c r="X78" s="235">
        <f t="shared" si="10"/>
        <v>0.40864571928268267</v>
      </c>
      <c r="Y78" s="235">
        <f t="shared" si="11"/>
        <v>23.413675030985519</v>
      </c>
      <c r="Z78" s="235">
        <f t="shared" si="12"/>
        <v>113.24545981863128</v>
      </c>
      <c r="AA78" s="238" t="str">
        <f t="shared" si="13"/>
        <v>TRUE</v>
      </c>
      <c r="AB78" s="235">
        <f t="shared" si="14"/>
        <v>6724</v>
      </c>
      <c r="AC78" s="235">
        <f t="shared" si="15"/>
        <v>15129</v>
      </c>
      <c r="AD78" s="236">
        <f t="shared" si="16"/>
        <v>12824.53416953323</v>
      </c>
      <c r="AE78" s="235">
        <f t="shared" si="17"/>
        <v>1.3305269001254973</v>
      </c>
      <c r="AF78" s="235">
        <f t="shared" si="18"/>
        <v>76.2335759058154</v>
      </c>
      <c r="AG78" s="236">
        <f t="shared" si="19"/>
        <v>1.1067455607141592</v>
      </c>
      <c r="AH78" s="235">
        <f t="shared" si="20"/>
        <v>63.411849623761128</v>
      </c>
    </row>
    <row r="79" spans="5:34" x14ac:dyDescent="0.25">
      <c r="E79" s="222">
        <v>34</v>
      </c>
      <c r="F79" s="223">
        <v>45</v>
      </c>
      <c r="G79" s="224">
        <v>115</v>
      </c>
      <c r="H79" s="232">
        <f>R79</f>
        <v>-32.470428439608582</v>
      </c>
      <c r="I79" s="232">
        <f>$C$3 - AF79 - Y79</f>
        <v>-99.647250936800916</v>
      </c>
      <c r="J79" s="232">
        <f>AH79-$C$4</f>
        <v>-9.5881503762388718</v>
      </c>
      <c r="K79" s="68">
        <f t="shared" si="0"/>
        <v>-32.470428439608582</v>
      </c>
      <c r="L79" s="68">
        <f t="shared" si="1"/>
        <v>-40</v>
      </c>
      <c r="M79" s="68">
        <f t="shared" si="2"/>
        <v>-9.5881503762388718</v>
      </c>
      <c r="N79" s="226">
        <f>E79*COS(RADIANS($C$2)) + G79*SIN(RADIANS($C$2))</f>
        <v>101.17342493512871</v>
      </c>
      <c r="O79" s="226">
        <f>F79</f>
        <v>45</v>
      </c>
      <c r="P79" s="226">
        <f>-E79*SIN(RADIANS($C$2)) + G79*COS(RADIANS($C$2))</f>
        <v>-64.38119358085774</v>
      </c>
      <c r="Q79" s="227">
        <f t="shared" si="3"/>
        <v>-0.56671588580437449</v>
      </c>
      <c r="R79" s="227">
        <f t="shared" si="4"/>
        <v>-32.470428439608582</v>
      </c>
      <c r="S79" s="236">
        <f t="shared" si="5"/>
        <v>119.92080720208649</v>
      </c>
      <c r="T79" s="236">
        <f t="shared" si="6"/>
        <v>45</v>
      </c>
      <c r="U79" s="236">
        <f t="shared" si="7"/>
        <v>0</v>
      </c>
      <c r="V79" s="237">
        <f t="shared" si="8"/>
        <v>103.92080720208649</v>
      </c>
      <c r="W79" s="237">
        <f t="shared" si="9"/>
        <v>45</v>
      </c>
      <c r="X79" s="235">
        <f t="shared" si="10"/>
        <v>0.40864571928268267</v>
      </c>
      <c r="Y79" s="235">
        <f t="shared" si="11"/>
        <v>23.413675030985519</v>
      </c>
      <c r="Z79" s="235">
        <f t="shared" si="12"/>
        <v>113.24545981863128</v>
      </c>
      <c r="AA79" s="238" t="str">
        <f t="shared" si="13"/>
        <v>TRUE</v>
      </c>
      <c r="AB79" s="235">
        <f t="shared" si="14"/>
        <v>6724</v>
      </c>
      <c r="AC79" s="235">
        <f t="shared" si="15"/>
        <v>15129</v>
      </c>
      <c r="AD79" s="236">
        <f t="shared" si="16"/>
        <v>12824.53416953323</v>
      </c>
      <c r="AE79" s="235">
        <f t="shared" si="17"/>
        <v>1.3305269001254973</v>
      </c>
      <c r="AF79" s="235">
        <f t="shared" si="18"/>
        <v>76.2335759058154</v>
      </c>
      <c r="AG79" s="236">
        <f t="shared" si="19"/>
        <v>1.1067455607141592</v>
      </c>
      <c r="AH79" s="235">
        <f t="shared" si="20"/>
        <v>63.411849623761128</v>
      </c>
    </row>
    <row r="80" spans="5:34" x14ac:dyDescent="0.25">
      <c r="E80" s="222">
        <v>34</v>
      </c>
      <c r="F80" s="223">
        <v>45</v>
      </c>
      <c r="G80" s="224">
        <v>115</v>
      </c>
      <c r="H80" s="232">
        <f>R80</f>
        <v>-32.470428439608582</v>
      </c>
      <c r="I80" s="232">
        <f>$C$3 - AF80 - Y80</f>
        <v>-99.647250936800916</v>
      </c>
      <c r="J80" s="232">
        <f>AH80-$C$4</f>
        <v>-9.5881503762388718</v>
      </c>
      <c r="K80" s="68">
        <f t="shared" si="0"/>
        <v>-32.470428439608582</v>
      </c>
      <c r="L80" s="68">
        <f t="shared" si="1"/>
        <v>-40</v>
      </c>
      <c r="M80" s="68">
        <f t="shared" si="2"/>
        <v>-9.5881503762388718</v>
      </c>
      <c r="N80" s="226">
        <f>E80*COS(RADIANS($C$2)) + G80*SIN(RADIANS($C$2))</f>
        <v>101.17342493512871</v>
      </c>
      <c r="O80" s="226">
        <f>F80</f>
        <v>45</v>
      </c>
      <c r="P80" s="226">
        <f>-E80*SIN(RADIANS($C$2)) + G80*COS(RADIANS($C$2))</f>
        <v>-64.38119358085774</v>
      </c>
      <c r="Q80" s="227">
        <f t="shared" si="3"/>
        <v>-0.56671588580437449</v>
      </c>
      <c r="R80" s="227">
        <f t="shared" si="4"/>
        <v>-32.470428439608582</v>
      </c>
      <c r="S80" s="236">
        <f t="shared" si="5"/>
        <v>119.92080720208649</v>
      </c>
      <c r="T80" s="236">
        <f t="shared" si="6"/>
        <v>45</v>
      </c>
      <c r="U80" s="236">
        <f t="shared" si="7"/>
        <v>0</v>
      </c>
      <c r="V80" s="237">
        <f t="shared" si="8"/>
        <v>103.92080720208649</v>
      </c>
      <c r="W80" s="237">
        <f t="shared" si="9"/>
        <v>45</v>
      </c>
      <c r="X80" s="235">
        <f t="shared" si="10"/>
        <v>0.40864571928268267</v>
      </c>
      <c r="Y80" s="235">
        <f t="shared" si="11"/>
        <v>23.413675030985519</v>
      </c>
      <c r="Z80" s="235">
        <f t="shared" si="12"/>
        <v>113.24545981863128</v>
      </c>
      <c r="AA80" s="238" t="str">
        <f t="shared" si="13"/>
        <v>TRUE</v>
      </c>
      <c r="AB80" s="235">
        <f t="shared" si="14"/>
        <v>6724</v>
      </c>
      <c r="AC80" s="235">
        <f t="shared" si="15"/>
        <v>15129</v>
      </c>
      <c r="AD80" s="236">
        <f t="shared" si="16"/>
        <v>12824.53416953323</v>
      </c>
      <c r="AE80" s="235">
        <f t="shared" si="17"/>
        <v>1.3305269001254973</v>
      </c>
      <c r="AF80" s="235">
        <f t="shared" si="18"/>
        <v>76.2335759058154</v>
      </c>
      <c r="AG80" s="236">
        <f t="shared" si="19"/>
        <v>1.1067455607141592</v>
      </c>
      <c r="AH80" s="235">
        <f t="shared" si="20"/>
        <v>63.411849623761128</v>
      </c>
    </row>
    <row r="81" spans="5:34" x14ac:dyDescent="0.25">
      <c r="E81" s="222">
        <v>34</v>
      </c>
      <c r="F81" s="223">
        <v>45</v>
      </c>
      <c r="G81" s="224">
        <v>115</v>
      </c>
      <c r="H81" s="232">
        <f>R81</f>
        <v>-32.470428439608582</v>
      </c>
      <c r="I81" s="232">
        <f>$C$3 - AF81 - Y81</f>
        <v>-99.647250936800916</v>
      </c>
      <c r="J81" s="232">
        <f>AH81-$C$4</f>
        <v>-9.5881503762388718</v>
      </c>
      <c r="K81" s="68">
        <f t="shared" si="0"/>
        <v>-32.470428439608582</v>
      </c>
      <c r="L81" s="68">
        <f t="shared" si="1"/>
        <v>-40</v>
      </c>
      <c r="M81" s="68">
        <f t="shared" si="2"/>
        <v>-9.5881503762388718</v>
      </c>
      <c r="N81" s="226">
        <f>E81*COS(RADIANS($C$2)) + G81*SIN(RADIANS($C$2))</f>
        <v>101.17342493512871</v>
      </c>
      <c r="O81" s="226">
        <f>F81</f>
        <v>45</v>
      </c>
      <c r="P81" s="226">
        <f>-E81*SIN(RADIANS($C$2)) + G81*COS(RADIANS($C$2))</f>
        <v>-64.38119358085774</v>
      </c>
      <c r="Q81" s="227">
        <f t="shared" si="3"/>
        <v>-0.56671588580437449</v>
      </c>
      <c r="R81" s="227">
        <f t="shared" si="4"/>
        <v>-32.470428439608582</v>
      </c>
      <c r="S81" s="236">
        <f t="shared" si="5"/>
        <v>119.92080720208649</v>
      </c>
      <c r="T81" s="236">
        <f t="shared" si="6"/>
        <v>45</v>
      </c>
      <c r="U81" s="236">
        <f t="shared" si="7"/>
        <v>0</v>
      </c>
      <c r="V81" s="237">
        <f t="shared" si="8"/>
        <v>103.92080720208649</v>
      </c>
      <c r="W81" s="237">
        <f t="shared" si="9"/>
        <v>45</v>
      </c>
      <c r="X81" s="235">
        <f t="shared" si="10"/>
        <v>0.40864571928268267</v>
      </c>
      <c r="Y81" s="235">
        <f t="shared" si="11"/>
        <v>23.413675030985519</v>
      </c>
      <c r="Z81" s="235">
        <f t="shared" si="12"/>
        <v>113.24545981863128</v>
      </c>
      <c r="AA81" s="238" t="str">
        <f t="shared" si="13"/>
        <v>TRUE</v>
      </c>
      <c r="AB81" s="235">
        <f t="shared" si="14"/>
        <v>6724</v>
      </c>
      <c r="AC81" s="235">
        <f t="shared" si="15"/>
        <v>15129</v>
      </c>
      <c r="AD81" s="236">
        <f t="shared" si="16"/>
        <v>12824.53416953323</v>
      </c>
      <c r="AE81" s="235">
        <f t="shared" si="17"/>
        <v>1.3305269001254973</v>
      </c>
      <c r="AF81" s="235">
        <f t="shared" si="18"/>
        <v>76.2335759058154</v>
      </c>
      <c r="AG81" s="236">
        <f t="shared" si="19"/>
        <v>1.1067455607141592</v>
      </c>
      <c r="AH81" s="235">
        <f t="shared" si="20"/>
        <v>63.411849623761128</v>
      </c>
    </row>
    <row r="82" spans="5:34" x14ac:dyDescent="0.25">
      <c r="E82" s="222">
        <v>34</v>
      </c>
      <c r="F82" s="223">
        <v>45</v>
      </c>
      <c r="G82" s="224">
        <v>115</v>
      </c>
      <c r="H82" s="232">
        <f>R82</f>
        <v>-32.470428439608582</v>
      </c>
      <c r="I82" s="232">
        <f>$C$3 - AF82 - Y82</f>
        <v>-99.647250936800916</v>
      </c>
      <c r="J82" s="232">
        <f>AH82-$C$4</f>
        <v>-9.5881503762388718</v>
      </c>
      <c r="K82" s="68">
        <f t="shared" si="0"/>
        <v>-32.470428439608582</v>
      </c>
      <c r="L82" s="68">
        <f t="shared" si="1"/>
        <v>-40</v>
      </c>
      <c r="M82" s="68">
        <f t="shared" si="2"/>
        <v>-9.5881503762388718</v>
      </c>
      <c r="N82" s="226">
        <f>E82*COS(RADIANS($C$2)) + G82*SIN(RADIANS($C$2))</f>
        <v>101.17342493512871</v>
      </c>
      <c r="O82" s="226">
        <f>F82</f>
        <v>45</v>
      </c>
      <c r="P82" s="226">
        <f>-E82*SIN(RADIANS($C$2)) + G82*COS(RADIANS($C$2))</f>
        <v>-64.38119358085774</v>
      </c>
      <c r="Q82" s="227">
        <f t="shared" si="3"/>
        <v>-0.56671588580437449</v>
      </c>
      <c r="R82" s="227">
        <f t="shared" si="4"/>
        <v>-32.470428439608582</v>
      </c>
      <c r="S82" s="236">
        <f t="shared" si="5"/>
        <v>119.92080720208649</v>
      </c>
      <c r="T82" s="236">
        <f t="shared" si="6"/>
        <v>45</v>
      </c>
      <c r="U82" s="236">
        <f t="shared" si="7"/>
        <v>0</v>
      </c>
      <c r="V82" s="237">
        <f t="shared" si="8"/>
        <v>103.92080720208649</v>
      </c>
      <c r="W82" s="237">
        <f t="shared" si="9"/>
        <v>45</v>
      </c>
      <c r="X82" s="235">
        <f t="shared" si="10"/>
        <v>0.40864571928268267</v>
      </c>
      <c r="Y82" s="235">
        <f t="shared" si="11"/>
        <v>23.413675030985519</v>
      </c>
      <c r="Z82" s="235">
        <f t="shared" si="12"/>
        <v>113.24545981863128</v>
      </c>
      <c r="AA82" s="238" t="str">
        <f t="shared" si="13"/>
        <v>TRUE</v>
      </c>
      <c r="AB82" s="235">
        <f t="shared" si="14"/>
        <v>6724</v>
      </c>
      <c r="AC82" s="235">
        <f t="shared" si="15"/>
        <v>15129</v>
      </c>
      <c r="AD82" s="236">
        <f t="shared" si="16"/>
        <v>12824.53416953323</v>
      </c>
      <c r="AE82" s="235">
        <f t="shared" si="17"/>
        <v>1.3305269001254973</v>
      </c>
      <c r="AF82" s="235">
        <f t="shared" si="18"/>
        <v>76.2335759058154</v>
      </c>
      <c r="AG82" s="236">
        <f t="shared" si="19"/>
        <v>1.1067455607141592</v>
      </c>
      <c r="AH82" s="235">
        <f t="shared" si="20"/>
        <v>63.411849623761128</v>
      </c>
    </row>
    <row r="83" spans="5:34" x14ac:dyDescent="0.25">
      <c r="E83" s="222">
        <v>34</v>
      </c>
      <c r="F83" s="223">
        <v>45</v>
      </c>
      <c r="G83" s="224">
        <v>115</v>
      </c>
      <c r="H83" s="232">
        <f>R83</f>
        <v>-32.470428439608582</v>
      </c>
      <c r="I83" s="232">
        <f>$C$3 - AF83 - Y83</f>
        <v>-99.647250936800916</v>
      </c>
      <c r="J83" s="232">
        <f>AH83-$C$4</f>
        <v>-9.5881503762388718</v>
      </c>
      <c r="K83" s="68">
        <f t="shared" si="0"/>
        <v>-32.470428439608582</v>
      </c>
      <c r="L83" s="68">
        <f t="shared" si="1"/>
        <v>-40</v>
      </c>
      <c r="M83" s="68">
        <f t="shared" si="2"/>
        <v>-9.5881503762388718</v>
      </c>
      <c r="N83" s="226">
        <f>E83*COS(RADIANS($C$2)) + G83*SIN(RADIANS($C$2))</f>
        <v>101.17342493512871</v>
      </c>
      <c r="O83" s="226">
        <f>F83</f>
        <v>45</v>
      </c>
      <c r="P83" s="226">
        <f>-E83*SIN(RADIANS($C$2)) + G83*COS(RADIANS($C$2))</f>
        <v>-64.38119358085774</v>
      </c>
      <c r="Q83" s="227">
        <f t="shared" si="3"/>
        <v>-0.56671588580437449</v>
      </c>
      <c r="R83" s="227">
        <f t="shared" si="4"/>
        <v>-32.470428439608582</v>
      </c>
      <c r="S83" s="236">
        <f t="shared" si="5"/>
        <v>119.92080720208649</v>
      </c>
      <c r="T83" s="236">
        <f t="shared" si="6"/>
        <v>45</v>
      </c>
      <c r="U83" s="236">
        <f t="shared" si="7"/>
        <v>0</v>
      </c>
      <c r="V83" s="237">
        <f t="shared" si="8"/>
        <v>103.92080720208649</v>
      </c>
      <c r="W83" s="237">
        <f t="shared" si="9"/>
        <v>45</v>
      </c>
      <c r="X83" s="235">
        <f t="shared" si="10"/>
        <v>0.40864571928268267</v>
      </c>
      <c r="Y83" s="235">
        <f t="shared" si="11"/>
        <v>23.413675030985519</v>
      </c>
      <c r="Z83" s="235">
        <f t="shared" si="12"/>
        <v>113.24545981863128</v>
      </c>
      <c r="AA83" s="238" t="str">
        <f t="shared" si="13"/>
        <v>TRUE</v>
      </c>
      <c r="AB83" s="235">
        <f t="shared" si="14"/>
        <v>6724</v>
      </c>
      <c r="AC83" s="235">
        <f t="shared" si="15"/>
        <v>15129</v>
      </c>
      <c r="AD83" s="236">
        <f t="shared" si="16"/>
        <v>12824.53416953323</v>
      </c>
      <c r="AE83" s="235">
        <f t="shared" si="17"/>
        <v>1.3305269001254973</v>
      </c>
      <c r="AF83" s="235">
        <f t="shared" si="18"/>
        <v>76.2335759058154</v>
      </c>
      <c r="AG83" s="236">
        <f t="shared" si="19"/>
        <v>1.1067455607141592</v>
      </c>
      <c r="AH83" s="235">
        <f t="shared" si="20"/>
        <v>63.411849623761128</v>
      </c>
    </row>
    <row r="84" spans="5:34" x14ac:dyDescent="0.25">
      <c r="E84" s="222">
        <v>34</v>
      </c>
      <c r="F84" s="223">
        <v>45</v>
      </c>
      <c r="G84" s="224">
        <v>115</v>
      </c>
      <c r="H84" s="232">
        <f>R84</f>
        <v>-32.470428439608582</v>
      </c>
      <c r="I84" s="232">
        <f>$C$3 - AF84 - Y84</f>
        <v>-99.647250936800916</v>
      </c>
      <c r="J84" s="232">
        <f>AH84-$C$4</f>
        <v>-9.5881503762388718</v>
      </c>
      <c r="K84" s="68">
        <f t="shared" ref="K84:K147" si="21">MEDIAN($C$17,H84,$C$18)</f>
        <v>-32.470428439608582</v>
      </c>
      <c r="L84" s="68">
        <f t="shared" ref="L84:L147" si="22">MEDIAN($C$19,I84,$C$20)</f>
        <v>-40</v>
      </c>
      <c r="M84" s="68">
        <f t="shared" ref="M84:M147" si="23">MEDIAN($C$21,J84,$C$22)</f>
        <v>-9.5881503762388718</v>
      </c>
      <c r="N84" s="226">
        <f>E84*COS(RADIANS($C$2)) + G84*SIN(RADIANS($C$2))</f>
        <v>101.17342493512871</v>
      </c>
      <c r="O84" s="226">
        <f>F84</f>
        <v>45</v>
      </c>
      <c r="P84" s="226">
        <f>-E84*SIN(RADIANS($C$2)) + G84*COS(RADIANS($C$2))</f>
        <v>-64.38119358085774</v>
      </c>
      <c r="Q84" s="227">
        <f t="shared" ref="Q84:Q147" si="24">ATAN2(N84, P84)</f>
        <v>-0.56671588580437449</v>
      </c>
      <c r="R84" s="227">
        <f t="shared" ref="R84:R147" si="25">DEGREES(Q84)</f>
        <v>-32.470428439608582</v>
      </c>
      <c r="S84" s="236">
        <f t="shared" ref="S84:S147" si="26">N84*COS(Q84) + P84*SIN(Q84)</f>
        <v>119.92080720208649</v>
      </c>
      <c r="T84" s="236">
        <f t="shared" ref="T84:T147" si="27">O84</f>
        <v>45</v>
      </c>
      <c r="U84" s="236">
        <f t="shared" ref="U84:U147" si="28">-N84*SIN(Q84) + P84*COS(Q84)</f>
        <v>0</v>
      </c>
      <c r="V84" s="237">
        <f t="shared" ref="V84:V147" si="29">S84-$C$5</f>
        <v>103.92080720208649</v>
      </c>
      <c r="W84" s="237">
        <f t="shared" ref="W84:W147" si="30">T84</f>
        <v>45</v>
      </c>
      <c r="X84" s="235">
        <f t="shared" ref="X84:X147" si="31">ATAN2(V84, W84)</f>
        <v>0.40864571928268267</v>
      </c>
      <c r="Y84" s="235">
        <f t="shared" ref="Y84:Y147" si="32">DEGREES(X84)</f>
        <v>23.413675030985519</v>
      </c>
      <c r="Z84" s="235">
        <f t="shared" ref="Z84:Z147" si="33">SQRT(V84*V84+W84*W84)</f>
        <v>113.24545981863128</v>
      </c>
      <c r="AA84" s="238" t="str">
        <f t="shared" ref="AA84:AA147" si="34">IF($C$6 + $C$7 &gt;Z84, "TRUE", "FALSE")</f>
        <v>TRUE</v>
      </c>
      <c r="AB84" s="235">
        <f t="shared" ref="AB84:AB147" si="35">$C$6*$C$6</f>
        <v>6724</v>
      </c>
      <c r="AC84" s="235">
        <f t="shared" ref="AC84:AC147" si="36">$C$7*$C$7</f>
        <v>15129</v>
      </c>
      <c r="AD84" s="236">
        <f t="shared" ref="AD84:AD147" si="37">Z84*Z84</f>
        <v>12824.53416953323</v>
      </c>
      <c r="AE84" s="235">
        <f t="shared" ref="AE84:AE147" si="38">ACOS(MEDIAN(-1, (AB84 + AD84 - AC84) / (2 * $C$6 * Z84), 1))</f>
        <v>1.3305269001254973</v>
      </c>
      <c r="AF84" s="235">
        <f t="shared" ref="AF84:AF147" si="39">DEGREES(AE84)</f>
        <v>76.2335759058154</v>
      </c>
      <c r="AG84" s="236">
        <f t="shared" ref="AG84:AG147" si="40">ACOS(MEDIAN(-1,(AC84 + AB84 - AD84) / (2 * $C$7 * $C$6),1))</f>
        <v>1.1067455607141592</v>
      </c>
      <c r="AH84" s="235">
        <f t="shared" ref="AH84:AH147" si="41">DEGREES(AG84)</f>
        <v>63.411849623761128</v>
      </c>
    </row>
    <row r="85" spans="5:34" x14ac:dyDescent="0.25">
      <c r="E85" s="222">
        <v>34</v>
      </c>
      <c r="F85" s="223">
        <v>45</v>
      </c>
      <c r="G85" s="224">
        <v>115</v>
      </c>
      <c r="H85" s="232">
        <f>R85</f>
        <v>-32.470428439608582</v>
      </c>
      <c r="I85" s="232">
        <f>$C$3 - AF85 - Y85</f>
        <v>-99.647250936800916</v>
      </c>
      <c r="J85" s="232">
        <f>AH85-$C$4</f>
        <v>-9.5881503762388718</v>
      </c>
      <c r="K85" s="68">
        <f t="shared" si="21"/>
        <v>-32.470428439608582</v>
      </c>
      <c r="L85" s="68">
        <f t="shared" si="22"/>
        <v>-40</v>
      </c>
      <c r="M85" s="68">
        <f t="shared" si="23"/>
        <v>-9.5881503762388718</v>
      </c>
      <c r="N85" s="226">
        <f>E85*COS(RADIANS($C$2)) + G85*SIN(RADIANS($C$2))</f>
        <v>101.17342493512871</v>
      </c>
      <c r="O85" s="226">
        <f>F85</f>
        <v>45</v>
      </c>
      <c r="P85" s="226">
        <f>-E85*SIN(RADIANS($C$2)) + G85*COS(RADIANS($C$2))</f>
        <v>-64.38119358085774</v>
      </c>
      <c r="Q85" s="227">
        <f t="shared" si="24"/>
        <v>-0.56671588580437449</v>
      </c>
      <c r="R85" s="227">
        <f t="shared" si="25"/>
        <v>-32.470428439608582</v>
      </c>
      <c r="S85" s="236">
        <f t="shared" si="26"/>
        <v>119.92080720208649</v>
      </c>
      <c r="T85" s="236">
        <f t="shared" si="27"/>
        <v>45</v>
      </c>
      <c r="U85" s="236">
        <f t="shared" si="28"/>
        <v>0</v>
      </c>
      <c r="V85" s="237">
        <f t="shared" si="29"/>
        <v>103.92080720208649</v>
      </c>
      <c r="W85" s="237">
        <f t="shared" si="30"/>
        <v>45</v>
      </c>
      <c r="X85" s="235">
        <f t="shared" si="31"/>
        <v>0.40864571928268267</v>
      </c>
      <c r="Y85" s="235">
        <f t="shared" si="32"/>
        <v>23.413675030985519</v>
      </c>
      <c r="Z85" s="235">
        <f t="shared" si="33"/>
        <v>113.24545981863128</v>
      </c>
      <c r="AA85" s="238" t="str">
        <f t="shared" si="34"/>
        <v>TRUE</v>
      </c>
      <c r="AB85" s="235">
        <f t="shared" si="35"/>
        <v>6724</v>
      </c>
      <c r="AC85" s="235">
        <f t="shared" si="36"/>
        <v>15129</v>
      </c>
      <c r="AD85" s="236">
        <f t="shared" si="37"/>
        <v>12824.53416953323</v>
      </c>
      <c r="AE85" s="235">
        <f t="shared" si="38"/>
        <v>1.3305269001254973</v>
      </c>
      <c r="AF85" s="235">
        <f t="shared" si="39"/>
        <v>76.2335759058154</v>
      </c>
      <c r="AG85" s="236">
        <f t="shared" si="40"/>
        <v>1.1067455607141592</v>
      </c>
      <c r="AH85" s="235">
        <f t="shared" si="41"/>
        <v>63.411849623761128</v>
      </c>
    </row>
    <row r="86" spans="5:34" x14ac:dyDescent="0.25">
      <c r="E86" s="222">
        <v>34</v>
      </c>
      <c r="F86" s="223">
        <v>45</v>
      </c>
      <c r="G86" s="224">
        <v>115</v>
      </c>
      <c r="H86" s="232">
        <f>R86</f>
        <v>-32.470428439608582</v>
      </c>
      <c r="I86" s="232">
        <f>$C$3 - AF86 - Y86</f>
        <v>-99.647250936800916</v>
      </c>
      <c r="J86" s="232">
        <f>AH86-$C$4</f>
        <v>-9.5881503762388718</v>
      </c>
      <c r="K86" s="68">
        <f t="shared" si="21"/>
        <v>-32.470428439608582</v>
      </c>
      <c r="L86" s="68">
        <f t="shared" si="22"/>
        <v>-40</v>
      </c>
      <c r="M86" s="68">
        <f t="shared" si="23"/>
        <v>-9.5881503762388718</v>
      </c>
      <c r="N86" s="226">
        <f>E86*COS(RADIANS($C$2)) + G86*SIN(RADIANS($C$2))</f>
        <v>101.17342493512871</v>
      </c>
      <c r="O86" s="226">
        <f>F86</f>
        <v>45</v>
      </c>
      <c r="P86" s="226">
        <f>-E86*SIN(RADIANS($C$2)) + G86*COS(RADIANS($C$2))</f>
        <v>-64.38119358085774</v>
      </c>
      <c r="Q86" s="227">
        <f t="shared" si="24"/>
        <v>-0.56671588580437449</v>
      </c>
      <c r="R86" s="227">
        <f t="shared" si="25"/>
        <v>-32.470428439608582</v>
      </c>
      <c r="S86" s="236">
        <f t="shared" si="26"/>
        <v>119.92080720208649</v>
      </c>
      <c r="T86" s="236">
        <f t="shared" si="27"/>
        <v>45</v>
      </c>
      <c r="U86" s="236">
        <f t="shared" si="28"/>
        <v>0</v>
      </c>
      <c r="V86" s="237">
        <f t="shared" si="29"/>
        <v>103.92080720208649</v>
      </c>
      <c r="W86" s="237">
        <f t="shared" si="30"/>
        <v>45</v>
      </c>
      <c r="X86" s="235">
        <f t="shared" si="31"/>
        <v>0.40864571928268267</v>
      </c>
      <c r="Y86" s="235">
        <f t="shared" si="32"/>
        <v>23.413675030985519</v>
      </c>
      <c r="Z86" s="235">
        <f t="shared" si="33"/>
        <v>113.24545981863128</v>
      </c>
      <c r="AA86" s="238" t="str">
        <f t="shared" si="34"/>
        <v>TRUE</v>
      </c>
      <c r="AB86" s="235">
        <f t="shared" si="35"/>
        <v>6724</v>
      </c>
      <c r="AC86" s="235">
        <f t="shared" si="36"/>
        <v>15129</v>
      </c>
      <c r="AD86" s="236">
        <f t="shared" si="37"/>
        <v>12824.53416953323</v>
      </c>
      <c r="AE86" s="235">
        <f t="shared" si="38"/>
        <v>1.3305269001254973</v>
      </c>
      <c r="AF86" s="235">
        <f t="shared" si="39"/>
        <v>76.2335759058154</v>
      </c>
      <c r="AG86" s="236">
        <f t="shared" si="40"/>
        <v>1.1067455607141592</v>
      </c>
      <c r="AH86" s="235">
        <f t="shared" si="41"/>
        <v>63.411849623761128</v>
      </c>
    </row>
    <row r="87" spans="5:34" x14ac:dyDescent="0.25">
      <c r="E87" s="222">
        <v>34</v>
      </c>
      <c r="F87" s="223">
        <v>45</v>
      </c>
      <c r="G87" s="224">
        <v>115</v>
      </c>
      <c r="H87" s="232">
        <f>R87</f>
        <v>-32.470428439608582</v>
      </c>
      <c r="I87" s="232">
        <f>$C$3 - AF87 - Y87</f>
        <v>-99.647250936800916</v>
      </c>
      <c r="J87" s="232">
        <f>AH87-$C$4</f>
        <v>-9.5881503762388718</v>
      </c>
      <c r="K87" s="68">
        <f t="shared" si="21"/>
        <v>-32.470428439608582</v>
      </c>
      <c r="L87" s="68">
        <f t="shared" si="22"/>
        <v>-40</v>
      </c>
      <c r="M87" s="68">
        <f t="shared" si="23"/>
        <v>-9.5881503762388718</v>
      </c>
      <c r="N87" s="226">
        <f>E87*COS(RADIANS($C$2)) + G87*SIN(RADIANS($C$2))</f>
        <v>101.17342493512871</v>
      </c>
      <c r="O87" s="226">
        <f>F87</f>
        <v>45</v>
      </c>
      <c r="P87" s="226">
        <f>-E87*SIN(RADIANS($C$2)) + G87*COS(RADIANS($C$2))</f>
        <v>-64.38119358085774</v>
      </c>
      <c r="Q87" s="227">
        <f t="shared" si="24"/>
        <v>-0.56671588580437449</v>
      </c>
      <c r="R87" s="227">
        <f t="shared" si="25"/>
        <v>-32.470428439608582</v>
      </c>
      <c r="S87" s="236">
        <f t="shared" si="26"/>
        <v>119.92080720208649</v>
      </c>
      <c r="T87" s="236">
        <f t="shared" si="27"/>
        <v>45</v>
      </c>
      <c r="U87" s="236">
        <f t="shared" si="28"/>
        <v>0</v>
      </c>
      <c r="V87" s="237">
        <f t="shared" si="29"/>
        <v>103.92080720208649</v>
      </c>
      <c r="W87" s="237">
        <f t="shared" si="30"/>
        <v>45</v>
      </c>
      <c r="X87" s="235">
        <f t="shared" si="31"/>
        <v>0.40864571928268267</v>
      </c>
      <c r="Y87" s="235">
        <f t="shared" si="32"/>
        <v>23.413675030985519</v>
      </c>
      <c r="Z87" s="235">
        <f t="shared" si="33"/>
        <v>113.24545981863128</v>
      </c>
      <c r="AA87" s="238" t="str">
        <f t="shared" si="34"/>
        <v>TRUE</v>
      </c>
      <c r="AB87" s="235">
        <f t="shared" si="35"/>
        <v>6724</v>
      </c>
      <c r="AC87" s="235">
        <f t="shared" si="36"/>
        <v>15129</v>
      </c>
      <c r="AD87" s="236">
        <f t="shared" si="37"/>
        <v>12824.53416953323</v>
      </c>
      <c r="AE87" s="235">
        <f t="shared" si="38"/>
        <v>1.3305269001254973</v>
      </c>
      <c r="AF87" s="235">
        <f t="shared" si="39"/>
        <v>76.2335759058154</v>
      </c>
      <c r="AG87" s="236">
        <f t="shared" si="40"/>
        <v>1.1067455607141592</v>
      </c>
      <c r="AH87" s="235">
        <f t="shared" si="41"/>
        <v>63.411849623761128</v>
      </c>
    </row>
    <row r="88" spans="5:34" x14ac:dyDescent="0.25">
      <c r="E88" s="222">
        <v>34</v>
      </c>
      <c r="F88" s="223">
        <v>45</v>
      </c>
      <c r="G88" s="224">
        <v>115</v>
      </c>
      <c r="H88" s="232">
        <f>R88</f>
        <v>-32.470428439608582</v>
      </c>
      <c r="I88" s="232">
        <f>$C$3 - AF88 - Y88</f>
        <v>-99.647250936800916</v>
      </c>
      <c r="J88" s="232">
        <f>AH88-$C$4</f>
        <v>-9.5881503762388718</v>
      </c>
      <c r="K88" s="68">
        <f t="shared" si="21"/>
        <v>-32.470428439608582</v>
      </c>
      <c r="L88" s="68">
        <f t="shared" si="22"/>
        <v>-40</v>
      </c>
      <c r="M88" s="68">
        <f t="shared" si="23"/>
        <v>-9.5881503762388718</v>
      </c>
      <c r="N88" s="226">
        <f>E88*COS(RADIANS($C$2)) + G88*SIN(RADIANS($C$2))</f>
        <v>101.17342493512871</v>
      </c>
      <c r="O88" s="226">
        <f>F88</f>
        <v>45</v>
      </c>
      <c r="P88" s="226">
        <f>-E88*SIN(RADIANS($C$2)) + G88*COS(RADIANS($C$2))</f>
        <v>-64.38119358085774</v>
      </c>
      <c r="Q88" s="227">
        <f t="shared" si="24"/>
        <v>-0.56671588580437449</v>
      </c>
      <c r="R88" s="227">
        <f t="shared" si="25"/>
        <v>-32.470428439608582</v>
      </c>
      <c r="S88" s="236">
        <f t="shared" si="26"/>
        <v>119.92080720208649</v>
      </c>
      <c r="T88" s="236">
        <f t="shared" si="27"/>
        <v>45</v>
      </c>
      <c r="U88" s="236">
        <f t="shared" si="28"/>
        <v>0</v>
      </c>
      <c r="V88" s="237">
        <f t="shared" si="29"/>
        <v>103.92080720208649</v>
      </c>
      <c r="W88" s="237">
        <f t="shared" si="30"/>
        <v>45</v>
      </c>
      <c r="X88" s="235">
        <f t="shared" si="31"/>
        <v>0.40864571928268267</v>
      </c>
      <c r="Y88" s="235">
        <f t="shared" si="32"/>
        <v>23.413675030985519</v>
      </c>
      <c r="Z88" s="235">
        <f t="shared" si="33"/>
        <v>113.24545981863128</v>
      </c>
      <c r="AA88" s="238" t="str">
        <f t="shared" si="34"/>
        <v>TRUE</v>
      </c>
      <c r="AB88" s="235">
        <f t="shared" si="35"/>
        <v>6724</v>
      </c>
      <c r="AC88" s="235">
        <f t="shared" si="36"/>
        <v>15129</v>
      </c>
      <c r="AD88" s="236">
        <f t="shared" si="37"/>
        <v>12824.53416953323</v>
      </c>
      <c r="AE88" s="235">
        <f t="shared" si="38"/>
        <v>1.3305269001254973</v>
      </c>
      <c r="AF88" s="235">
        <f t="shared" si="39"/>
        <v>76.2335759058154</v>
      </c>
      <c r="AG88" s="236">
        <f t="shared" si="40"/>
        <v>1.1067455607141592</v>
      </c>
      <c r="AH88" s="235">
        <f t="shared" si="41"/>
        <v>63.411849623761128</v>
      </c>
    </row>
    <row r="89" spans="5:34" x14ac:dyDescent="0.25">
      <c r="E89" s="222">
        <v>34</v>
      </c>
      <c r="F89" s="223">
        <v>45</v>
      </c>
      <c r="G89" s="224">
        <v>115</v>
      </c>
      <c r="H89" s="232">
        <f>R89</f>
        <v>-32.470428439608582</v>
      </c>
      <c r="I89" s="232">
        <f>$C$3 - AF89 - Y89</f>
        <v>-99.647250936800916</v>
      </c>
      <c r="J89" s="232">
        <f>AH89-$C$4</f>
        <v>-9.5881503762388718</v>
      </c>
      <c r="K89" s="68">
        <f t="shared" si="21"/>
        <v>-32.470428439608582</v>
      </c>
      <c r="L89" s="68">
        <f t="shared" si="22"/>
        <v>-40</v>
      </c>
      <c r="M89" s="68">
        <f t="shared" si="23"/>
        <v>-9.5881503762388718</v>
      </c>
      <c r="N89" s="226">
        <f>E89*COS(RADIANS($C$2)) + G89*SIN(RADIANS($C$2))</f>
        <v>101.17342493512871</v>
      </c>
      <c r="O89" s="226">
        <f>F89</f>
        <v>45</v>
      </c>
      <c r="P89" s="226">
        <f>-E89*SIN(RADIANS($C$2)) + G89*COS(RADIANS($C$2))</f>
        <v>-64.38119358085774</v>
      </c>
      <c r="Q89" s="227">
        <f t="shared" si="24"/>
        <v>-0.56671588580437449</v>
      </c>
      <c r="R89" s="227">
        <f t="shared" si="25"/>
        <v>-32.470428439608582</v>
      </c>
      <c r="S89" s="236">
        <f t="shared" si="26"/>
        <v>119.92080720208649</v>
      </c>
      <c r="T89" s="236">
        <f t="shared" si="27"/>
        <v>45</v>
      </c>
      <c r="U89" s="236">
        <f t="shared" si="28"/>
        <v>0</v>
      </c>
      <c r="V89" s="237">
        <f t="shared" si="29"/>
        <v>103.92080720208649</v>
      </c>
      <c r="W89" s="237">
        <f t="shared" si="30"/>
        <v>45</v>
      </c>
      <c r="X89" s="235">
        <f t="shared" si="31"/>
        <v>0.40864571928268267</v>
      </c>
      <c r="Y89" s="235">
        <f t="shared" si="32"/>
        <v>23.413675030985519</v>
      </c>
      <c r="Z89" s="235">
        <f t="shared" si="33"/>
        <v>113.24545981863128</v>
      </c>
      <c r="AA89" s="238" t="str">
        <f t="shared" si="34"/>
        <v>TRUE</v>
      </c>
      <c r="AB89" s="235">
        <f t="shared" si="35"/>
        <v>6724</v>
      </c>
      <c r="AC89" s="235">
        <f t="shared" si="36"/>
        <v>15129</v>
      </c>
      <c r="AD89" s="236">
        <f t="shared" si="37"/>
        <v>12824.53416953323</v>
      </c>
      <c r="AE89" s="235">
        <f t="shared" si="38"/>
        <v>1.3305269001254973</v>
      </c>
      <c r="AF89" s="235">
        <f t="shared" si="39"/>
        <v>76.2335759058154</v>
      </c>
      <c r="AG89" s="236">
        <f t="shared" si="40"/>
        <v>1.1067455607141592</v>
      </c>
      <c r="AH89" s="235">
        <f t="shared" si="41"/>
        <v>63.411849623761128</v>
      </c>
    </row>
    <row r="90" spans="5:34" x14ac:dyDescent="0.25">
      <c r="E90" s="222">
        <v>34</v>
      </c>
      <c r="F90" s="223">
        <v>45</v>
      </c>
      <c r="G90" s="224">
        <v>115</v>
      </c>
      <c r="H90" s="232">
        <f>R90</f>
        <v>-32.470428439608582</v>
      </c>
      <c r="I90" s="232">
        <f>$C$3 - AF90 - Y90</f>
        <v>-99.647250936800916</v>
      </c>
      <c r="J90" s="232">
        <f>AH90-$C$4</f>
        <v>-9.5881503762388718</v>
      </c>
      <c r="K90" s="68">
        <f t="shared" si="21"/>
        <v>-32.470428439608582</v>
      </c>
      <c r="L90" s="68">
        <f t="shared" si="22"/>
        <v>-40</v>
      </c>
      <c r="M90" s="68">
        <f t="shared" si="23"/>
        <v>-9.5881503762388718</v>
      </c>
      <c r="N90" s="226">
        <f>E90*COS(RADIANS($C$2)) + G90*SIN(RADIANS($C$2))</f>
        <v>101.17342493512871</v>
      </c>
      <c r="O90" s="226">
        <f>F90</f>
        <v>45</v>
      </c>
      <c r="P90" s="226">
        <f>-E90*SIN(RADIANS($C$2)) + G90*COS(RADIANS($C$2))</f>
        <v>-64.38119358085774</v>
      </c>
      <c r="Q90" s="227">
        <f t="shared" si="24"/>
        <v>-0.56671588580437449</v>
      </c>
      <c r="R90" s="227">
        <f t="shared" si="25"/>
        <v>-32.470428439608582</v>
      </c>
      <c r="S90" s="236">
        <f t="shared" si="26"/>
        <v>119.92080720208649</v>
      </c>
      <c r="T90" s="236">
        <f t="shared" si="27"/>
        <v>45</v>
      </c>
      <c r="U90" s="236">
        <f t="shared" si="28"/>
        <v>0</v>
      </c>
      <c r="V90" s="237">
        <f t="shared" si="29"/>
        <v>103.92080720208649</v>
      </c>
      <c r="W90" s="237">
        <f t="shared" si="30"/>
        <v>45</v>
      </c>
      <c r="X90" s="235">
        <f t="shared" si="31"/>
        <v>0.40864571928268267</v>
      </c>
      <c r="Y90" s="235">
        <f t="shared" si="32"/>
        <v>23.413675030985519</v>
      </c>
      <c r="Z90" s="235">
        <f t="shared" si="33"/>
        <v>113.24545981863128</v>
      </c>
      <c r="AA90" s="238" t="str">
        <f t="shared" si="34"/>
        <v>TRUE</v>
      </c>
      <c r="AB90" s="235">
        <f t="shared" si="35"/>
        <v>6724</v>
      </c>
      <c r="AC90" s="235">
        <f t="shared" si="36"/>
        <v>15129</v>
      </c>
      <c r="AD90" s="236">
        <f t="shared" si="37"/>
        <v>12824.53416953323</v>
      </c>
      <c r="AE90" s="235">
        <f t="shared" si="38"/>
        <v>1.3305269001254973</v>
      </c>
      <c r="AF90" s="235">
        <f t="shared" si="39"/>
        <v>76.2335759058154</v>
      </c>
      <c r="AG90" s="236">
        <f t="shared" si="40"/>
        <v>1.1067455607141592</v>
      </c>
      <c r="AH90" s="235">
        <f t="shared" si="41"/>
        <v>63.411849623761128</v>
      </c>
    </row>
    <row r="91" spans="5:34" x14ac:dyDescent="0.25">
      <c r="E91" s="222">
        <v>34</v>
      </c>
      <c r="F91" s="223">
        <v>45</v>
      </c>
      <c r="G91" s="224">
        <v>115</v>
      </c>
      <c r="H91" s="232">
        <f>R91</f>
        <v>-32.470428439608582</v>
      </c>
      <c r="I91" s="232">
        <f>$C$3 - AF91 - Y91</f>
        <v>-99.647250936800916</v>
      </c>
      <c r="J91" s="232">
        <f>AH91-$C$4</f>
        <v>-9.5881503762388718</v>
      </c>
      <c r="K91" s="68">
        <f t="shared" si="21"/>
        <v>-32.470428439608582</v>
      </c>
      <c r="L91" s="68">
        <f t="shared" si="22"/>
        <v>-40</v>
      </c>
      <c r="M91" s="68">
        <f t="shared" si="23"/>
        <v>-9.5881503762388718</v>
      </c>
      <c r="N91" s="226">
        <f>E91*COS(RADIANS($C$2)) + G91*SIN(RADIANS($C$2))</f>
        <v>101.17342493512871</v>
      </c>
      <c r="O91" s="226">
        <f>F91</f>
        <v>45</v>
      </c>
      <c r="P91" s="226">
        <f>-E91*SIN(RADIANS($C$2)) + G91*COS(RADIANS($C$2))</f>
        <v>-64.38119358085774</v>
      </c>
      <c r="Q91" s="227">
        <f t="shared" si="24"/>
        <v>-0.56671588580437449</v>
      </c>
      <c r="R91" s="227">
        <f t="shared" si="25"/>
        <v>-32.470428439608582</v>
      </c>
      <c r="S91" s="236">
        <f t="shared" si="26"/>
        <v>119.92080720208649</v>
      </c>
      <c r="T91" s="236">
        <f t="shared" si="27"/>
        <v>45</v>
      </c>
      <c r="U91" s="236">
        <f t="shared" si="28"/>
        <v>0</v>
      </c>
      <c r="V91" s="237">
        <f t="shared" si="29"/>
        <v>103.92080720208649</v>
      </c>
      <c r="W91" s="237">
        <f t="shared" si="30"/>
        <v>45</v>
      </c>
      <c r="X91" s="235">
        <f t="shared" si="31"/>
        <v>0.40864571928268267</v>
      </c>
      <c r="Y91" s="235">
        <f t="shared" si="32"/>
        <v>23.413675030985519</v>
      </c>
      <c r="Z91" s="235">
        <f t="shared" si="33"/>
        <v>113.24545981863128</v>
      </c>
      <c r="AA91" s="238" t="str">
        <f t="shared" si="34"/>
        <v>TRUE</v>
      </c>
      <c r="AB91" s="235">
        <f t="shared" si="35"/>
        <v>6724</v>
      </c>
      <c r="AC91" s="235">
        <f t="shared" si="36"/>
        <v>15129</v>
      </c>
      <c r="AD91" s="236">
        <f t="shared" si="37"/>
        <v>12824.53416953323</v>
      </c>
      <c r="AE91" s="235">
        <f t="shared" si="38"/>
        <v>1.3305269001254973</v>
      </c>
      <c r="AF91" s="235">
        <f t="shared" si="39"/>
        <v>76.2335759058154</v>
      </c>
      <c r="AG91" s="236">
        <f t="shared" si="40"/>
        <v>1.1067455607141592</v>
      </c>
      <c r="AH91" s="235">
        <f t="shared" si="41"/>
        <v>63.411849623761128</v>
      </c>
    </row>
    <row r="92" spans="5:34" x14ac:dyDescent="0.25">
      <c r="E92" s="222">
        <v>34</v>
      </c>
      <c r="F92" s="223">
        <v>45</v>
      </c>
      <c r="G92" s="224">
        <v>115</v>
      </c>
      <c r="H92" s="232">
        <f>R92</f>
        <v>-32.470428439608582</v>
      </c>
      <c r="I92" s="232">
        <f>$C$3 - AF92 - Y92</f>
        <v>-99.647250936800916</v>
      </c>
      <c r="J92" s="232">
        <f>AH92-$C$4</f>
        <v>-9.5881503762388718</v>
      </c>
      <c r="K92" s="68">
        <f t="shared" si="21"/>
        <v>-32.470428439608582</v>
      </c>
      <c r="L92" s="68">
        <f t="shared" si="22"/>
        <v>-40</v>
      </c>
      <c r="M92" s="68">
        <f t="shared" si="23"/>
        <v>-9.5881503762388718</v>
      </c>
      <c r="N92" s="226">
        <f>E92*COS(RADIANS($C$2)) + G92*SIN(RADIANS($C$2))</f>
        <v>101.17342493512871</v>
      </c>
      <c r="O92" s="226">
        <f>F92</f>
        <v>45</v>
      </c>
      <c r="P92" s="226">
        <f>-E92*SIN(RADIANS($C$2)) + G92*COS(RADIANS($C$2))</f>
        <v>-64.38119358085774</v>
      </c>
      <c r="Q92" s="227">
        <f t="shared" si="24"/>
        <v>-0.56671588580437449</v>
      </c>
      <c r="R92" s="227">
        <f t="shared" si="25"/>
        <v>-32.470428439608582</v>
      </c>
      <c r="S92" s="236">
        <f t="shared" si="26"/>
        <v>119.92080720208649</v>
      </c>
      <c r="T92" s="236">
        <f t="shared" si="27"/>
        <v>45</v>
      </c>
      <c r="U92" s="236">
        <f t="shared" si="28"/>
        <v>0</v>
      </c>
      <c r="V92" s="237">
        <f t="shared" si="29"/>
        <v>103.92080720208649</v>
      </c>
      <c r="W92" s="237">
        <f t="shared" si="30"/>
        <v>45</v>
      </c>
      <c r="X92" s="235">
        <f t="shared" si="31"/>
        <v>0.40864571928268267</v>
      </c>
      <c r="Y92" s="235">
        <f t="shared" si="32"/>
        <v>23.413675030985519</v>
      </c>
      <c r="Z92" s="235">
        <f t="shared" si="33"/>
        <v>113.24545981863128</v>
      </c>
      <c r="AA92" s="238" t="str">
        <f t="shared" si="34"/>
        <v>TRUE</v>
      </c>
      <c r="AB92" s="235">
        <f t="shared" si="35"/>
        <v>6724</v>
      </c>
      <c r="AC92" s="235">
        <f t="shared" si="36"/>
        <v>15129</v>
      </c>
      <c r="AD92" s="236">
        <f t="shared" si="37"/>
        <v>12824.53416953323</v>
      </c>
      <c r="AE92" s="235">
        <f t="shared" si="38"/>
        <v>1.3305269001254973</v>
      </c>
      <c r="AF92" s="235">
        <f t="shared" si="39"/>
        <v>76.2335759058154</v>
      </c>
      <c r="AG92" s="236">
        <f t="shared" si="40"/>
        <v>1.1067455607141592</v>
      </c>
      <c r="AH92" s="235">
        <f t="shared" si="41"/>
        <v>63.411849623761128</v>
      </c>
    </row>
    <row r="93" spans="5:34" x14ac:dyDescent="0.25">
      <c r="E93" s="222">
        <v>34</v>
      </c>
      <c r="F93" s="223">
        <v>45</v>
      </c>
      <c r="G93" s="224">
        <v>115</v>
      </c>
      <c r="H93" s="232">
        <f>R93</f>
        <v>-32.470428439608582</v>
      </c>
      <c r="I93" s="232">
        <f>$C$3 - AF93 - Y93</f>
        <v>-99.647250936800916</v>
      </c>
      <c r="J93" s="232">
        <f>AH93-$C$4</f>
        <v>-9.5881503762388718</v>
      </c>
      <c r="K93" s="68">
        <f t="shared" si="21"/>
        <v>-32.470428439608582</v>
      </c>
      <c r="L93" s="68">
        <f t="shared" si="22"/>
        <v>-40</v>
      </c>
      <c r="M93" s="68">
        <f t="shared" si="23"/>
        <v>-9.5881503762388718</v>
      </c>
      <c r="N93" s="226">
        <f>E93*COS(RADIANS($C$2)) + G93*SIN(RADIANS($C$2))</f>
        <v>101.17342493512871</v>
      </c>
      <c r="O93" s="226">
        <f>F93</f>
        <v>45</v>
      </c>
      <c r="P93" s="226">
        <f>-E93*SIN(RADIANS($C$2)) + G93*COS(RADIANS($C$2))</f>
        <v>-64.38119358085774</v>
      </c>
      <c r="Q93" s="227">
        <f t="shared" si="24"/>
        <v>-0.56671588580437449</v>
      </c>
      <c r="R93" s="227">
        <f t="shared" si="25"/>
        <v>-32.470428439608582</v>
      </c>
      <c r="S93" s="236">
        <f t="shared" si="26"/>
        <v>119.92080720208649</v>
      </c>
      <c r="T93" s="236">
        <f t="shared" si="27"/>
        <v>45</v>
      </c>
      <c r="U93" s="236">
        <f t="shared" si="28"/>
        <v>0</v>
      </c>
      <c r="V93" s="237">
        <f t="shared" si="29"/>
        <v>103.92080720208649</v>
      </c>
      <c r="W93" s="237">
        <f t="shared" si="30"/>
        <v>45</v>
      </c>
      <c r="X93" s="235">
        <f t="shared" si="31"/>
        <v>0.40864571928268267</v>
      </c>
      <c r="Y93" s="235">
        <f t="shared" si="32"/>
        <v>23.413675030985519</v>
      </c>
      <c r="Z93" s="235">
        <f t="shared" si="33"/>
        <v>113.24545981863128</v>
      </c>
      <c r="AA93" s="238" t="str">
        <f t="shared" si="34"/>
        <v>TRUE</v>
      </c>
      <c r="AB93" s="235">
        <f t="shared" si="35"/>
        <v>6724</v>
      </c>
      <c r="AC93" s="235">
        <f t="shared" si="36"/>
        <v>15129</v>
      </c>
      <c r="AD93" s="236">
        <f t="shared" si="37"/>
        <v>12824.53416953323</v>
      </c>
      <c r="AE93" s="235">
        <f t="shared" si="38"/>
        <v>1.3305269001254973</v>
      </c>
      <c r="AF93" s="235">
        <f t="shared" si="39"/>
        <v>76.2335759058154</v>
      </c>
      <c r="AG93" s="236">
        <f t="shared" si="40"/>
        <v>1.1067455607141592</v>
      </c>
      <c r="AH93" s="235">
        <f t="shared" si="41"/>
        <v>63.411849623761128</v>
      </c>
    </row>
    <row r="94" spans="5:34" x14ac:dyDescent="0.25">
      <c r="E94" s="222">
        <v>34</v>
      </c>
      <c r="F94" s="223">
        <v>45</v>
      </c>
      <c r="G94" s="224">
        <v>115</v>
      </c>
      <c r="H94" s="232">
        <f>R94</f>
        <v>-32.470428439608582</v>
      </c>
      <c r="I94" s="232">
        <f>$C$3 - AF94 - Y94</f>
        <v>-99.647250936800916</v>
      </c>
      <c r="J94" s="232">
        <f>AH94-$C$4</f>
        <v>-9.5881503762388718</v>
      </c>
      <c r="K94" s="68">
        <f t="shared" si="21"/>
        <v>-32.470428439608582</v>
      </c>
      <c r="L94" s="68">
        <f t="shared" si="22"/>
        <v>-40</v>
      </c>
      <c r="M94" s="68">
        <f t="shared" si="23"/>
        <v>-9.5881503762388718</v>
      </c>
      <c r="N94" s="226">
        <f>E94*COS(RADIANS($C$2)) + G94*SIN(RADIANS($C$2))</f>
        <v>101.17342493512871</v>
      </c>
      <c r="O94" s="226">
        <f>F94</f>
        <v>45</v>
      </c>
      <c r="P94" s="226">
        <f>-E94*SIN(RADIANS($C$2)) + G94*COS(RADIANS($C$2))</f>
        <v>-64.38119358085774</v>
      </c>
      <c r="Q94" s="227">
        <f t="shared" si="24"/>
        <v>-0.56671588580437449</v>
      </c>
      <c r="R94" s="227">
        <f t="shared" si="25"/>
        <v>-32.470428439608582</v>
      </c>
      <c r="S94" s="236">
        <f t="shared" si="26"/>
        <v>119.92080720208649</v>
      </c>
      <c r="T94" s="236">
        <f t="shared" si="27"/>
        <v>45</v>
      </c>
      <c r="U94" s="236">
        <f t="shared" si="28"/>
        <v>0</v>
      </c>
      <c r="V94" s="237">
        <f t="shared" si="29"/>
        <v>103.92080720208649</v>
      </c>
      <c r="W94" s="237">
        <f t="shared" si="30"/>
        <v>45</v>
      </c>
      <c r="X94" s="235">
        <f t="shared" si="31"/>
        <v>0.40864571928268267</v>
      </c>
      <c r="Y94" s="235">
        <f t="shared" si="32"/>
        <v>23.413675030985519</v>
      </c>
      <c r="Z94" s="235">
        <f t="shared" si="33"/>
        <v>113.24545981863128</v>
      </c>
      <c r="AA94" s="238" t="str">
        <f t="shared" si="34"/>
        <v>TRUE</v>
      </c>
      <c r="AB94" s="235">
        <f t="shared" si="35"/>
        <v>6724</v>
      </c>
      <c r="AC94" s="235">
        <f t="shared" si="36"/>
        <v>15129</v>
      </c>
      <c r="AD94" s="236">
        <f t="shared" si="37"/>
        <v>12824.53416953323</v>
      </c>
      <c r="AE94" s="235">
        <f t="shared" si="38"/>
        <v>1.3305269001254973</v>
      </c>
      <c r="AF94" s="235">
        <f t="shared" si="39"/>
        <v>76.2335759058154</v>
      </c>
      <c r="AG94" s="236">
        <f t="shared" si="40"/>
        <v>1.1067455607141592</v>
      </c>
      <c r="AH94" s="235">
        <f t="shared" si="41"/>
        <v>63.411849623761128</v>
      </c>
    </row>
    <row r="95" spans="5:34" x14ac:dyDescent="0.25">
      <c r="E95" s="222">
        <v>34</v>
      </c>
      <c r="F95" s="223">
        <v>45</v>
      </c>
      <c r="G95" s="224">
        <v>115</v>
      </c>
      <c r="H95" s="232">
        <f>R95</f>
        <v>-32.470428439608582</v>
      </c>
      <c r="I95" s="232">
        <f>$C$3 - AF95 - Y95</f>
        <v>-99.647250936800916</v>
      </c>
      <c r="J95" s="232">
        <f>AH95-$C$4</f>
        <v>-9.5881503762388718</v>
      </c>
      <c r="K95" s="68">
        <f t="shared" si="21"/>
        <v>-32.470428439608582</v>
      </c>
      <c r="L95" s="68">
        <f t="shared" si="22"/>
        <v>-40</v>
      </c>
      <c r="M95" s="68">
        <f t="shared" si="23"/>
        <v>-9.5881503762388718</v>
      </c>
      <c r="N95" s="226">
        <f>E95*COS(RADIANS($C$2)) + G95*SIN(RADIANS($C$2))</f>
        <v>101.17342493512871</v>
      </c>
      <c r="O95" s="226">
        <f>F95</f>
        <v>45</v>
      </c>
      <c r="P95" s="226">
        <f>-E95*SIN(RADIANS($C$2)) + G95*COS(RADIANS($C$2))</f>
        <v>-64.38119358085774</v>
      </c>
      <c r="Q95" s="227">
        <f t="shared" si="24"/>
        <v>-0.56671588580437449</v>
      </c>
      <c r="R95" s="227">
        <f t="shared" si="25"/>
        <v>-32.470428439608582</v>
      </c>
      <c r="S95" s="236">
        <f t="shared" si="26"/>
        <v>119.92080720208649</v>
      </c>
      <c r="T95" s="236">
        <f t="shared" si="27"/>
        <v>45</v>
      </c>
      <c r="U95" s="236">
        <f t="shared" si="28"/>
        <v>0</v>
      </c>
      <c r="V95" s="237">
        <f t="shared" si="29"/>
        <v>103.92080720208649</v>
      </c>
      <c r="W95" s="237">
        <f t="shared" si="30"/>
        <v>45</v>
      </c>
      <c r="X95" s="235">
        <f t="shared" si="31"/>
        <v>0.40864571928268267</v>
      </c>
      <c r="Y95" s="235">
        <f t="shared" si="32"/>
        <v>23.413675030985519</v>
      </c>
      <c r="Z95" s="235">
        <f t="shared" si="33"/>
        <v>113.24545981863128</v>
      </c>
      <c r="AA95" s="238" t="str">
        <f t="shared" si="34"/>
        <v>TRUE</v>
      </c>
      <c r="AB95" s="235">
        <f t="shared" si="35"/>
        <v>6724</v>
      </c>
      <c r="AC95" s="235">
        <f t="shared" si="36"/>
        <v>15129</v>
      </c>
      <c r="AD95" s="236">
        <f t="shared" si="37"/>
        <v>12824.53416953323</v>
      </c>
      <c r="AE95" s="235">
        <f t="shared" si="38"/>
        <v>1.3305269001254973</v>
      </c>
      <c r="AF95" s="235">
        <f t="shared" si="39"/>
        <v>76.2335759058154</v>
      </c>
      <c r="AG95" s="236">
        <f t="shared" si="40"/>
        <v>1.1067455607141592</v>
      </c>
      <c r="AH95" s="235">
        <f t="shared" si="41"/>
        <v>63.411849623761128</v>
      </c>
    </row>
    <row r="96" spans="5:34" x14ac:dyDescent="0.25">
      <c r="E96" s="222">
        <v>34</v>
      </c>
      <c r="F96" s="223">
        <v>44</v>
      </c>
      <c r="G96" s="224">
        <v>116</v>
      </c>
      <c r="H96" s="232">
        <f>R96</f>
        <v>-32.336042889718456</v>
      </c>
      <c r="I96" s="232">
        <f>$C$3 - AF96 - Y96</f>
        <v>-98.701260727891437</v>
      </c>
      <c r="J96" s="232">
        <f>AH96-$C$4</f>
        <v>-9.235166673226459</v>
      </c>
      <c r="K96" s="68">
        <f t="shared" si="21"/>
        <v>-32.336042889718456</v>
      </c>
      <c r="L96" s="68">
        <f t="shared" si="22"/>
        <v>-40</v>
      </c>
      <c r="M96" s="68">
        <f t="shared" si="23"/>
        <v>-9.235166673226459</v>
      </c>
      <c r="N96" s="226">
        <f>E96*COS(RADIANS($C$2)) + G96*SIN(RADIANS($C$2))</f>
        <v>102.13468663106703</v>
      </c>
      <c r="O96" s="226">
        <f>F96</f>
        <v>44</v>
      </c>
      <c r="P96" s="226">
        <f>-E96*SIN(RADIANS($C$2)) + G96*COS(RADIANS($C$2))</f>
        <v>-64.656830936674737</v>
      </c>
      <c r="Q96" s="227">
        <f t="shared" si="24"/>
        <v>-0.56437041549168876</v>
      </c>
      <c r="R96" s="227">
        <f t="shared" si="25"/>
        <v>-32.336042889718456</v>
      </c>
      <c r="S96" s="236">
        <f t="shared" si="26"/>
        <v>120.88010589009259</v>
      </c>
      <c r="T96" s="236">
        <f t="shared" si="27"/>
        <v>44</v>
      </c>
      <c r="U96" s="236">
        <f t="shared" si="28"/>
        <v>0</v>
      </c>
      <c r="V96" s="237">
        <f t="shared" si="29"/>
        <v>104.88010589009259</v>
      </c>
      <c r="W96" s="237">
        <f t="shared" si="30"/>
        <v>44</v>
      </c>
      <c r="X96" s="235">
        <f t="shared" si="31"/>
        <v>0.39722555614157706</v>
      </c>
      <c r="Y96" s="235">
        <f t="shared" si="32"/>
        <v>22.759347881649305</v>
      </c>
      <c r="Z96" s="235">
        <f t="shared" si="33"/>
        <v>113.73581938649335</v>
      </c>
      <c r="AA96" s="238" t="str">
        <f t="shared" si="34"/>
        <v>TRUE</v>
      </c>
      <c r="AB96" s="235">
        <f t="shared" si="35"/>
        <v>6724</v>
      </c>
      <c r="AC96" s="235">
        <f t="shared" si="36"/>
        <v>15129</v>
      </c>
      <c r="AD96" s="236">
        <f t="shared" si="37"/>
        <v>12935.836611517036</v>
      </c>
      <c r="AE96" s="235">
        <f t="shared" si="38"/>
        <v>1.3254364194295034</v>
      </c>
      <c r="AF96" s="235">
        <f t="shared" si="39"/>
        <v>75.941912846242133</v>
      </c>
      <c r="AG96" s="236">
        <f t="shared" si="40"/>
        <v>1.1129062885376075</v>
      </c>
      <c r="AH96" s="235">
        <f t="shared" si="41"/>
        <v>63.764833326773541</v>
      </c>
    </row>
    <row r="97" spans="5:34" x14ac:dyDescent="0.25">
      <c r="E97" s="222">
        <v>34</v>
      </c>
      <c r="F97" s="223">
        <v>44</v>
      </c>
      <c r="G97" s="224">
        <v>117</v>
      </c>
      <c r="H97" s="232">
        <f>R97</f>
        <v>-32.203774214890757</v>
      </c>
      <c r="I97" s="232">
        <f>$C$3 - AF97 - Y97</f>
        <v>-97.99030507920989</v>
      </c>
      <c r="J97" s="232">
        <f>AH97-$C$4</f>
        <v>-8.5963723028764036</v>
      </c>
      <c r="K97" s="68">
        <f t="shared" si="21"/>
        <v>-32.203774214890757</v>
      </c>
      <c r="L97" s="68">
        <f t="shared" si="22"/>
        <v>-40</v>
      </c>
      <c r="M97" s="68">
        <f t="shared" si="23"/>
        <v>-8.5963723028764036</v>
      </c>
      <c r="N97" s="226">
        <f>E97*COS(RADIANS($C$2)) + G97*SIN(RADIANS($C$2))</f>
        <v>103.09594832700535</v>
      </c>
      <c r="O97" s="226">
        <f>F97</f>
        <v>44</v>
      </c>
      <c r="P97" s="226">
        <f>-E97*SIN(RADIANS($C$2)) + G97*COS(RADIANS($C$2))</f>
        <v>-64.932468292491734</v>
      </c>
      <c r="Q97" s="227">
        <f t="shared" si="24"/>
        <v>-0.56206189161869557</v>
      </c>
      <c r="R97" s="227">
        <f t="shared" si="25"/>
        <v>-32.203774214890757</v>
      </c>
      <c r="S97" s="236">
        <f t="shared" si="26"/>
        <v>121.8400590938793</v>
      </c>
      <c r="T97" s="236">
        <f t="shared" si="27"/>
        <v>44</v>
      </c>
      <c r="U97" s="236">
        <f t="shared" si="28"/>
        <v>0</v>
      </c>
      <c r="V97" s="237">
        <f t="shared" si="29"/>
        <v>105.8400590938793</v>
      </c>
      <c r="W97" s="237">
        <f t="shared" si="30"/>
        <v>44</v>
      </c>
      <c r="X97" s="235">
        <f t="shared" si="31"/>
        <v>0.3939855960778304</v>
      </c>
      <c r="Y97" s="235">
        <f t="shared" si="32"/>
        <v>22.573711844205683</v>
      </c>
      <c r="Z97" s="235">
        <f t="shared" si="33"/>
        <v>114.62163019690421</v>
      </c>
      <c r="AA97" s="238" t="str">
        <f t="shared" si="34"/>
        <v>TRUE</v>
      </c>
      <c r="AB97" s="235">
        <f t="shared" si="35"/>
        <v>6724</v>
      </c>
      <c r="AC97" s="235">
        <f t="shared" si="36"/>
        <v>15129</v>
      </c>
      <c r="AD97" s="236">
        <f t="shared" si="37"/>
        <v>13138.118108995863</v>
      </c>
      <c r="AE97" s="235">
        <f t="shared" si="38"/>
        <v>1.316267862588105</v>
      </c>
      <c r="AF97" s="235">
        <f t="shared" si="39"/>
        <v>75.4165932350042</v>
      </c>
      <c r="AG97" s="236">
        <f t="shared" si="40"/>
        <v>1.1240553535434201</v>
      </c>
      <c r="AH97" s="235">
        <f t="shared" si="41"/>
        <v>64.403627697123596</v>
      </c>
    </row>
    <row r="98" spans="5:34" x14ac:dyDescent="0.25">
      <c r="E98" s="222">
        <v>34</v>
      </c>
      <c r="F98" s="223">
        <v>44</v>
      </c>
      <c r="G98" s="224">
        <v>118</v>
      </c>
      <c r="H98" s="232">
        <f>R98</f>
        <v>-32.073574164746383</v>
      </c>
      <c r="I98" s="232">
        <f>$C$3 - AF98 - Y98</f>
        <v>-97.282944050085689</v>
      </c>
      <c r="J98" s="232">
        <f>AH98-$C$4</f>
        <v>-7.9547699868226687</v>
      </c>
      <c r="K98" s="68">
        <f t="shared" si="21"/>
        <v>-32.073574164746383</v>
      </c>
      <c r="L98" s="68">
        <f t="shared" si="22"/>
        <v>-40</v>
      </c>
      <c r="M98" s="68">
        <f t="shared" si="23"/>
        <v>-7.9547699868226687</v>
      </c>
      <c r="N98" s="226">
        <f>E98*COS(RADIANS($C$2)) + G98*SIN(RADIANS($C$2))</f>
        <v>104.05721002294366</v>
      </c>
      <c r="O98" s="226">
        <f>F98</f>
        <v>44</v>
      </c>
      <c r="P98" s="226">
        <f>-E98*SIN(RADIANS($C$2)) + G98*COS(RADIANS($C$2))</f>
        <v>-65.208105648308731</v>
      </c>
      <c r="Q98" s="227">
        <f t="shared" si="24"/>
        <v>-0.55978947205741458</v>
      </c>
      <c r="R98" s="227">
        <f t="shared" si="25"/>
        <v>-32.073574164746383</v>
      </c>
      <c r="S98" s="236">
        <f t="shared" si="26"/>
        <v>122.80065146407</v>
      </c>
      <c r="T98" s="236">
        <f t="shared" si="27"/>
        <v>44</v>
      </c>
      <c r="U98" s="236">
        <f t="shared" si="28"/>
        <v>0</v>
      </c>
      <c r="V98" s="237">
        <f t="shared" si="29"/>
        <v>106.80065146407</v>
      </c>
      <c r="W98" s="237">
        <f t="shared" si="30"/>
        <v>44</v>
      </c>
      <c r="X98" s="235">
        <f t="shared" si="31"/>
        <v>0.39079325470007575</v>
      </c>
      <c r="Y98" s="235">
        <f t="shared" si="32"/>
        <v>22.390804156495363</v>
      </c>
      <c r="Z98" s="235">
        <f t="shared" si="33"/>
        <v>115.50921674546044</v>
      </c>
      <c r="AA98" s="238" t="str">
        <f t="shared" si="34"/>
        <v>TRUE</v>
      </c>
      <c r="AB98" s="235">
        <f t="shared" si="35"/>
        <v>6724</v>
      </c>
      <c r="AC98" s="235">
        <f t="shared" si="36"/>
        <v>15129</v>
      </c>
      <c r="AD98" s="236">
        <f t="shared" si="37"/>
        <v>13342.379153149757</v>
      </c>
      <c r="AE98" s="235">
        <f t="shared" si="38"/>
        <v>1.307114425007347</v>
      </c>
      <c r="AF98" s="235">
        <f t="shared" si="39"/>
        <v>74.892139893590326</v>
      </c>
      <c r="AG98" s="236">
        <f t="shared" si="40"/>
        <v>1.1352534264469791</v>
      </c>
      <c r="AH98" s="235">
        <f t="shared" si="41"/>
        <v>65.045230013177331</v>
      </c>
    </row>
    <row r="99" spans="5:34" x14ac:dyDescent="0.25">
      <c r="E99" s="222">
        <v>34</v>
      </c>
      <c r="F99" s="223">
        <v>43</v>
      </c>
      <c r="G99" s="224">
        <v>120</v>
      </c>
      <c r="H99" s="232">
        <f>R99</f>
        <v>-31.819193947500128</v>
      </c>
      <c r="I99" s="232">
        <f>$C$3 - AF99 - Y99</f>
        <v>-95.642055191819537</v>
      </c>
      <c r="J99" s="232">
        <f>AH99-$C$4</f>
        <v>-6.933066736072206</v>
      </c>
      <c r="K99" s="68">
        <f t="shared" si="21"/>
        <v>-31.819193947500128</v>
      </c>
      <c r="L99" s="68">
        <f t="shared" si="22"/>
        <v>-40</v>
      </c>
      <c r="M99" s="68">
        <f t="shared" si="23"/>
        <v>-6.933066736072206</v>
      </c>
      <c r="N99" s="226">
        <f>E99*COS(RADIANS($C$2)) + G99*SIN(RADIANS($C$2))</f>
        <v>105.9797334148203</v>
      </c>
      <c r="O99" s="226">
        <f>F99</f>
        <v>43</v>
      </c>
      <c r="P99" s="226">
        <f>-E99*SIN(RADIANS($C$2)) + G99*COS(RADIANS($C$2))</f>
        <v>-65.759380359942725</v>
      </c>
      <c r="Q99" s="227">
        <f t="shared" si="24"/>
        <v>-0.55534969971452897</v>
      </c>
      <c r="R99" s="227">
        <f t="shared" si="25"/>
        <v>-31.819193947500128</v>
      </c>
      <c r="S99" s="236">
        <f t="shared" si="26"/>
        <v>124.72369462135092</v>
      </c>
      <c r="T99" s="236">
        <f t="shared" si="27"/>
        <v>43</v>
      </c>
      <c r="U99" s="236">
        <f t="shared" si="28"/>
        <v>0</v>
      </c>
      <c r="V99" s="237">
        <f t="shared" si="29"/>
        <v>108.72369462135092</v>
      </c>
      <c r="W99" s="237">
        <f t="shared" si="30"/>
        <v>43</v>
      </c>
      <c r="X99" s="235">
        <f t="shared" si="31"/>
        <v>0.37661929783968906</v>
      </c>
      <c r="Y99" s="235">
        <f t="shared" si="32"/>
        <v>21.578696249394707</v>
      </c>
      <c r="Z99" s="235">
        <f t="shared" si="33"/>
        <v>116.91809856526392</v>
      </c>
      <c r="AA99" s="238" t="str">
        <f t="shared" si="34"/>
        <v>TRUE</v>
      </c>
      <c r="AB99" s="235">
        <f t="shared" si="35"/>
        <v>6724</v>
      </c>
      <c r="AC99" s="235">
        <f t="shared" si="36"/>
        <v>15129</v>
      </c>
      <c r="AD99" s="236">
        <f t="shared" si="37"/>
        <v>13669.841772116768</v>
      </c>
      <c r="AE99" s="235">
        <f t="shared" si="38"/>
        <v>1.2926494686316985</v>
      </c>
      <c r="AF99" s="235">
        <f t="shared" si="39"/>
        <v>74.063358942424827</v>
      </c>
      <c r="AG99" s="236">
        <f t="shared" si="40"/>
        <v>1.1530855121509038</v>
      </c>
      <c r="AH99" s="235">
        <f t="shared" si="41"/>
        <v>66.066933263927794</v>
      </c>
    </row>
    <row r="100" spans="5:34" x14ac:dyDescent="0.25">
      <c r="E100" s="222">
        <v>34</v>
      </c>
      <c r="F100" s="223">
        <v>42</v>
      </c>
      <c r="G100" s="224">
        <v>121</v>
      </c>
      <c r="H100" s="232">
        <f>R100</f>
        <v>-31.69492414342</v>
      </c>
      <c r="I100" s="232">
        <f>$C$3 - AF100 - Y100</f>
        <v>-94.702606618460649</v>
      </c>
      <c r="J100" s="232">
        <f>AH100-$C$4</f>
        <v>-6.5445754612088791</v>
      </c>
      <c r="K100" s="68">
        <f t="shared" si="21"/>
        <v>-31.69492414342</v>
      </c>
      <c r="L100" s="68">
        <f t="shared" si="22"/>
        <v>-40</v>
      </c>
      <c r="M100" s="68">
        <f t="shared" si="23"/>
        <v>-6.5445754612088791</v>
      </c>
      <c r="N100" s="226">
        <f>E100*COS(RADIANS($C$2)) + G100*SIN(RADIANS($C$2))</f>
        <v>106.94099511075862</v>
      </c>
      <c r="O100" s="226">
        <f>F100</f>
        <v>42</v>
      </c>
      <c r="P100" s="226">
        <f>-E100*SIN(RADIANS($C$2)) + G100*COS(RADIANS($C$2))</f>
        <v>-66.035017715759722</v>
      </c>
      <c r="Q100" s="227">
        <f t="shared" si="24"/>
        <v>-0.55318078247252245</v>
      </c>
      <c r="R100" s="227">
        <f t="shared" si="25"/>
        <v>-31.69492414342</v>
      </c>
      <c r="S100" s="236">
        <f t="shared" si="26"/>
        <v>125.686116973992</v>
      </c>
      <c r="T100" s="236">
        <f t="shared" si="27"/>
        <v>42</v>
      </c>
      <c r="U100" s="236">
        <f t="shared" si="28"/>
        <v>0</v>
      </c>
      <c r="V100" s="237">
        <f t="shared" si="29"/>
        <v>109.686116973992</v>
      </c>
      <c r="W100" s="237">
        <f t="shared" si="30"/>
        <v>42</v>
      </c>
      <c r="X100" s="235">
        <f t="shared" si="31"/>
        <v>0.36568807424950522</v>
      </c>
      <c r="Y100" s="235">
        <f t="shared" si="32"/>
        <v>20.952383272763328</v>
      </c>
      <c r="Z100" s="235">
        <f t="shared" si="33"/>
        <v>117.45230630699534</v>
      </c>
      <c r="AA100" s="238" t="str">
        <f t="shared" si="34"/>
        <v>TRUE</v>
      </c>
      <c r="AB100" s="235">
        <f t="shared" si="35"/>
        <v>6724</v>
      </c>
      <c r="AC100" s="235">
        <f t="shared" si="36"/>
        <v>15129</v>
      </c>
      <c r="AD100" s="236">
        <f t="shared" si="37"/>
        <v>13795.044256832258</v>
      </c>
      <c r="AE100" s="235">
        <f t="shared" si="38"/>
        <v>1.2871842214636064</v>
      </c>
      <c r="AF100" s="235">
        <f t="shared" si="39"/>
        <v>73.750223345697322</v>
      </c>
      <c r="AG100" s="236">
        <f t="shared" si="40"/>
        <v>1.1598659640125391</v>
      </c>
      <c r="AH100" s="235">
        <f t="shared" si="41"/>
        <v>66.455424538791121</v>
      </c>
    </row>
    <row r="101" spans="5:34" x14ac:dyDescent="0.25">
      <c r="E101" s="222">
        <v>34</v>
      </c>
      <c r="F101" s="223">
        <v>40</v>
      </c>
      <c r="G101" s="224">
        <v>123</v>
      </c>
      <c r="H101" s="232">
        <f>R101</f>
        <v>-31.452010641129672</v>
      </c>
      <c r="I101" s="232">
        <f>$C$3 - AF101 - Y101</f>
        <v>-92.817261405248871</v>
      </c>
      <c r="J101" s="232">
        <f>AH101-$C$4</f>
        <v>-5.7342090197561788</v>
      </c>
      <c r="K101" s="68">
        <f t="shared" si="21"/>
        <v>-31.452010641129672</v>
      </c>
      <c r="L101" s="68">
        <f t="shared" si="22"/>
        <v>-40</v>
      </c>
      <c r="M101" s="68">
        <f t="shared" si="23"/>
        <v>-5.7342090197561788</v>
      </c>
      <c r="N101" s="226">
        <f>E101*COS(RADIANS($C$2)) + G101*SIN(RADIANS($C$2))</f>
        <v>108.86351850263526</v>
      </c>
      <c r="O101" s="226">
        <f>F101</f>
        <v>40</v>
      </c>
      <c r="P101" s="226">
        <f>-E101*SIN(RADIANS($C$2)) + G101*COS(RADIANS($C$2))</f>
        <v>-66.586292427393715</v>
      </c>
      <c r="Q101" s="227">
        <f t="shared" si="24"/>
        <v>-0.54894114206000544</v>
      </c>
      <c r="R101" s="227">
        <f t="shared" si="25"/>
        <v>-31.452010641129672</v>
      </c>
      <c r="S101" s="236">
        <f t="shared" si="26"/>
        <v>127.61269529321916</v>
      </c>
      <c r="T101" s="236">
        <f t="shared" si="27"/>
        <v>40</v>
      </c>
      <c r="U101" s="236">
        <f t="shared" si="28"/>
        <v>0</v>
      </c>
      <c r="V101" s="237">
        <f t="shared" si="29"/>
        <v>111.61269529321916</v>
      </c>
      <c r="W101" s="237">
        <f t="shared" si="30"/>
        <v>40</v>
      </c>
      <c r="X101" s="235">
        <f t="shared" si="31"/>
        <v>0.34412262827839674</v>
      </c>
      <c r="Y101" s="235">
        <f t="shared" si="32"/>
        <v>19.716774235301408</v>
      </c>
      <c r="Z101" s="235">
        <f t="shared" si="33"/>
        <v>118.56388046372717</v>
      </c>
      <c r="AA101" s="238" t="str">
        <f t="shared" si="34"/>
        <v>TRUE</v>
      </c>
      <c r="AB101" s="235">
        <f t="shared" si="35"/>
        <v>6724</v>
      </c>
      <c r="AC101" s="235">
        <f t="shared" si="36"/>
        <v>15129</v>
      </c>
      <c r="AD101" s="236">
        <f t="shared" si="37"/>
        <v>14057.393750616986</v>
      </c>
      <c r="AE101" s="235">
        <f t="shared" si="38"/>
        <v>1.275844185927455</v>
      </c>
      <c r="AF101" s="235">
        <f t="shared" si="39"/>
        <v>73.100487169947471</v>
      </c>
      <c r="AG101" s="236">
        <f t="shared" si="40"/>
        <v>1.1740095265635586</v>
      </c>
      <c r="AH101" s="235">
        <f t="shared" si="41"/>
        <v>67.265790980243821</v>
      </c>
    </row>
    <row r="102" spans="5:34" x14ac:dyDescent="0.25">
      <c r="E102" s="222">
        <v>34</v>
      </c>
      <c r="F102" s="223">
        <v>39</v>
      </c>
      <c r="G102" s="224">
        <v>125</v>
      </c>
      <c r="H102" s="232">
        <f>R102</f>
        <v>-31.216326712022973</v>
      </c>
      <c r="I102" s="232">
        <f>$C$3 - AF102 - Y102</f>
        <v>-91.190712029739018</v>
      </c>
      <c r="J102" s="232">
        <f>AH102-$C$4</f>
        <v>-4.6443622193999801</v>
      </c>
      <c r="K102" s="68">
        <f t="shared" si="21"/>
        <v>-31.216326712022973</v>
      </c>
      <c r="L102" s="68">
        <f t="shared" si="22"/>
        <v>-40</v>
      </c>
      <c r="M102" s="68">
        <f t="shared" si="23"/>
        <v>-4.6443622193999801</v>
      </c>
      <c r="N102" s="226">
        <f>E102*COS(RADIANS($C$2)) + G102*SIN(RADIANS($C$2))</f>
        <v>110.7860418945119</v>
      </c>
      <c r="O102" s="226">
        <f>F102</f>
        <v>39</v>
      </c>
      <c r="P102" s="226">
        <f>-E102*SIN(RADIANS($C$2)) + G102*COS(RADIANS($C$2))</f>
        <v>-67.137567139027723</v>
      </c>
      <c r="Q102" s="227">
        <f t="shared" si="24"/>
        <v>-0.5448276815030566</v>
      </c>
      <c r="R102" s="227">
        <f t="shared" si="25"/>
        <v>-31.216326712022973</v>
      </c>
      <c r="S102" s="236">
        <f t="shared" si="26"/>
        <v>129.5414991421668</v>
      </c>
      <c r="T102" s="236">
        <f t="shared" si="27"/>
        <v>39</v>
      </c>
      <c r="U102" s="236">
        <f t="shared" si="28"/>
        <v>0</v>
      </c>
      <c r="V102" s="237">
        <f t="shared" si="29"/>
        <v>113.5414991421668</v>
      </c>
      <c r="W102" s="237">
        <f t="shared" si="30"/>
        <v>39</v>
      </c>
      <c r="X102" s="235">
        <f t="shared" si="31"/>
        <v>0.33086062290704266</v>
      </c>
      <c r="Y102" s="235">
        <f t="shared" si="32"/>
        <v>18.956917299642992</v>
      </c>
      <c r="Z102" s="235">
        <f t="shared" si="33"/>
        <v>120.05278850343571</v>
      </c>
      <c r="AA102" s="238" t="str">
        <f t="shared" si="34"/>
        <v>TRUE</v>
      </c>
      <c r="AB102" s="235">
        <f t="shared" si="35"/>
        <v>6724</v>
      </c>
      <c r="AC102" s="235">
        <f t="shared" si="36"/>
        <v>15129</v>
      </c>
      <c r="AD102" s="236">
        <f t="shared" si="37"/>
        <v>14412.672027450664</v>
      </c>
      <c r="AE102" s="235">
        <f t="shared" si="38"/>
        <v>1.2607175492499043</v>
      </c>
      <c r="AF102" s="235">
        <f t="shared" si="39"/>
        <v>72.233794730096022</v>
      </c>
      <c r="AG102" s="236">
        <f t="shared" si="40"/>
        <v>1.1930309415720997</v>
      </c>
      <c r="AH102" s="235">
        <f t="shared" si="41"/>
        <v>68.35563778060002</v>
      </c>
    </row>
    <row r="103" spans="5:34" x14ac:dyDescent="0.25">
      <c r="E103" s="222">
        <v>34</v>
      </c>
      <c r="F103" s="223">
        <v>37</v>
      </c>
      <c r="G103" s="224">
        <v>126</v>
      </c>
      <c r="H103" s="232">
        <f>R103</f>
        <v>-31.10109816138543</v>
      </c>
      <c r="I103" s="232">
        <f>$C$3 - AF103 - Y103</f>
        <v>-89.976244702386396</v>
      </c>
      <c r="J103" s="232">
        <f>AH103-$C$4</f>
        <v>-4.4363689242048281</v>
      </c>
      <c r="K103" s="68">
        <f t="shared" si="21"/>
        <v>-31.10109816138543</v>
      </c>
      <c r="L103" s="68">
        <f t="shared" si="22"/>
        <v>-40</v>
      </c>
      <c r="M103" s="68">
        <f t="shared" si="23"/>
        <v>-4.4363689242048281</v>
      </c>
      <c r="N103" s="226">
        <f>E103*COS(RADIANS($C$2)) + G103*SIN(RADIANS($C$2))</f>
        <v>111.74730359045022</v>
      </c>
      <c r="O103" s="226">
        <f>F103</f>
        <v>37</v>
      </c>
      <c r="P103" s="226">
        <f>-E103*SIN(RADIANS($C$2)) + G103*COS(RADIANS($C$2))</f>
        <v>-67.41320449484472</v>
      </c>
      <c r="Q103" s="227">
        <f t="shared" si="24"/>
        <v>-0.54281656390213051</v>
      </c>
      <c r="R103" s="227">
        <f t="shared" si="25"/>
        <v>-31.10109816138543</v>
      </c>
      <c r="S103" s="236">
        <f t="shared" si="26"/>
        <v>130.50670480860362</v>
      </c>
      <c r="T103" s="236">
        <f t="shared" si="27"/>
        <v>37</v>
      </c>
      <c r="U103" s="236">
        <f t="shared" si="28"/>
        <v>0</v>
      </c>
      <c r="V103" s="237">
        <f t="shared" si="29"/>
        <v>114.50670480860362</v>
      </c>
      <c r="W103" s="237">
        <f t="shared" si="30"/>
        <v>37</v>
      </c>
      <c r="X103" s="235">
        <f t="shared" si="31"/>
        <v>0.31253525825325285</v>
      </c>
      <c r="Y103" s="235">
        <f t="shared" si="32"/>
        <v>17.906951246942619</v>
      </c>
      <c r="Z103" s="235">
        <f t="shared" si="33"/>
        <v>120.33613524675241</v>
      </c>
      <c r="AA103" s="238" t="str">
        <f t="shared" si="34"/>
        <v>TRUE</v>
      </c>
      <c r="AB103" s="235">
        <f t="shared" si="35"/>
        <v>6724</v>
      </c>
      <c r="AC103" s="235">
        <f t="shared" si="36"/>
        <v>15129</v>
      </c>
      <c r="AD103" s="236">
        <f t="shared" si="37"/>
        <v>14480.785446124686</v>
      </c>
      <c r="AE103" s="235">
        <f t="shared" si="38"/>
        <v>1.2578464603834953</v>
      </c>
      <c r="AF103" s="235">
        <f t="shared" si="39"/>
        <v>72.069293455443784</v>
      </c>
      <c r="AG103" s="236">
        <f t="shared" si="40"/>
        <v>1.1966611093953277</v>
      </c>
      <c r="AH103" s="235">
        <f t="shared" si="41"/>
        <v>68.563631075795172</v>
      </c>
    </row>
    <row r="104" spans="5:34" x14ac:dyDescent="0.25">
      <c r="E104" s="222">
        <v>34</v>
      </c>
      <c r="F104" s="223">
        <v>36</v>
      </c>
      <c r="G104" s="224">
        <v>127</v>
      </c>
      <c r="H104" s="232">
        <f>R104</f>
        <v>-30.98756197105681</v>
      </c>
      <c r="I104" s="232">
        <f>$C$3 - AF104 - Y104</f>
        <v>-89.026538490203919</v>
      </c>
      <c r="J104" s="232">
        <f>AH104-$C$4</f>
        <v>-3.9821100070419106</v>
      </c>
      <c r="K104" s="68">
        <f t="shared" si="21"/>
        <v>-30.98756197105681</v>
      </c>
      <c r="L104" s="68">
        <f t="shared" si="22"/>
        <v>-40</v>
      </c>
      <c r="M104" s="68">
        <f t="shared" si="23"/>
        <v>-3.9821100070419106</v>
      </c>
      <c r="N104" s="226">
        <f>E104*COS(RADIANS($C$2)) + G104*SIN(RADIANS($C$2))</f>
        <v>112.70856528638853</v>
      </c>
      <c r="O104" s="226">
        <f>F104</f>
        <v>36</v>
      </c>
      <c r="P104" s="226">
        <f>-E104*SIN(RADIANS($C$2)) + G104*COS(RADIANS($C$2))</f>
        <v>-67.688841850661731</v>
      </c>
      <c r="Q104" s="227">
        <f t="shared" si="24"/>
        <v>-0.54083498356072512</v>
      </c>
      <c r="R104" s="227">
        <f t="shared" si="25"/>
        <v>-30.98756197105681</v>
      </c>
      <c r="S104" s="236">
        <f t="shared" si="26"/>
        <v>131.47243057006287</v>
      </c>
      <c r="T104" s="236">
        <f t="shared" si="27"/>
        <v>36</v>
      </c>
      <c r="U104" s="236">
        <f t="shared" si="28"/>
        <v>0</v>
      </c>
      <c r="V104" s="237">
        <f t="shared" si="29"/>
        <v>115.47243057006287</v>
      </c>
      <c r="W104" s="237">
        <f t="shared" si="30"/>
        <v>36</v>
      </c>
      <c r="X104" s="235">
        <f t="shared" si="31"/>
        <v>0.30221304934535342</v>
      </c>
      <c r="Y104" s="235">
        <f t="shared" si="32"/>
        <v>17.315532241267636</v>
      </c>
      <c r="Z104" s="235">
        <f t="shared" si="33"/>
        <v>120.95405004280754</v>
      </c>
      <c r="AA104" s="238" t="str">
        <f t="shared" si="34"/>
        <v>TRUE</v>
      </c>
      <c r="AB104" s="235">
        <f t="shared" si="35"/>
        <v>6724</v>
      </c>
      <c r="AC104" s="235">
        <f t="shared" si="36"/>
        <v>15129</v>
      </c>
      <c r="AD104" s="236">
        <f t="shared" si="37"/>
        <v>14629.882221757991</v>
      </c>
      <c r="AE104" s="235">
        <f t="shared" si="38"/>
        <v>1.2515931689621667</v>
      </c>
      <c r="AF104" s="235">
        <f t="shared" si="39"/>
        <v>71.711006248936286</v>
      </c>
      <c r="AG104" s="236">
        <f t="shared" si="40"/>
        <v>1.2045894231563645</v>
      </c>
      <c r="AH104" s="235">
        <f t="shared" si="41"/>
        <v>69.017889992958089</v>
      </c>
    </row>
    <row r="105" spans="5:34" x14ac:dyDescent="0.25">
      <c r="E105" s="222">
        <v>34</v>
      </c>
      <c r="F105" s="223">
        <v>34</v>
      </c>
      <c r="G105" s="224">
        <v>128</v>
      </c>
      <c r="H105" s="232">
        <f>R105</f>
        <v>-30.875682001638793</v>
      </c>
      <c r="I105" s="232">
        <f>$C$3 - AF105 - Y105</f>
        <v>-87.787787936447231</v>
      </c>
      <c r="J105" s="232">
        <f>AH105-$C$4</f>
        <v>-3.7265485686000375</v>
      </c>
      <c r="K105" s="68">
        <f t="shared" si="21"/>
        <v>-30.875682001638793</v>
      </c>
      <c r="L105" s="68">
        <f t="shared" si="22"/>
        <v>-40</v>
      </c>
      <c r="M105" s="68">
        <f t="shared" si="23"/>
        <v>-3.7265485686000375</v>
      </c>
      <c r="N105" s="226">
        <f>E105*COS(RADIANS($C$2)) + G105*SIN(RADIANS($C$2))</f>
        <v>113.66982698232685</v>
      </c>
      <c r="O105" s="226">
        <f>F105</f>
        <v>34</v>
      </c>
      <c r="P105" s="226">
        <f>-E105*SIN(RADIANS($C$2)) + G105*COS(RADIANS($C$2))</f>
        <v>-67.964479206478728</v>
      </c>
      <c r="Q105" s="227">
        <f t="shared" si="24"/>
        <v>-0.53888230972735018</v>
      </c>
      <c r="R105" s="227">
        <f t="shared" si="25"/>
        <v>-30.875682001638793</v>
      </c>
      <c r="S105" s="236">
        <f t="shared" si="26"/>
        <v>132.43866504914644</v>
      </c>
      <c r="T105" s="236">
        <f t="shared" si="27"/>
        <v>34</v>
      </c>
      <c r="U105" s="236">
        <f t="shared" si="28"/>
        <v>0</v>
      </c>
      <c r="V105" s="237">
        <f t="shared" si="29"/>
        <v>116.43866504914644</v>
      </c>
      <c r="W105" s="237">
        <f t="shared" si="30"/>
        <v>34</v>
      </c>
      <c r="X105" s="235">
        <f t="shared" si="31"/>
        <v>0.28410056792487659</v>
      </c>
      <c r="Y105" s="235">
        <f t="shared" si="32"/>
        <v>16.277763499365197</v>
      </c>
      <c r="Z105" s="235">
        <f t="shared" si="33"/>
        <v>121.30112414329604</v>
      </c>
      <c r="AA105" s="238" t="str">
        <f t="shared" si="34"/>
        <v>TRUE</v>
      </c>
      <c r="AB105" s="235">
        <f t="shared" si="35"/>
        <v>6724</v>
      </c>
      <c r="AC105" s="235">
        <f t="shared" si="36"/>
        <v>15129</v>
      </c>
      <c r="AD105" s="236">
        <f t="shared" si="37"/>
        <v>14713.962718427316</v>
      </c>
      <c r="AE105" s="235">
        <f t="shared" si="38"/>
        <v>1.2480853746086862</v>
      </c>
      <c r="AF105" s="235">
        <f t="shared" si="39"/>
        <v>71.510024437082038</v>
      </c>
      <c r="AG105" s="236">
        <f t="shared" si="40"/>
        <v>1.2090498116983082</v>
      </c>
      <c r="AH105" s="235">
        <f t="shared" si="41"/>
        <v>69.273451431399963</v>
      </c>
    </row>
    <row r="106" spans="5:34" x14ac:dyDescent="0.25">
      <c r="E106" s="222">
        <v>34</v>
      </c>
      <c r="F106" s="223">
        <v>32</v>
      </c>
      <c r="G106" s="224">
        <v>130</v>
      </c>
      <c r="H106" s="232">
        <f>R106</f>
        <v>-30.656751115760422</v>
      </c>
      <c r="I106" s="232">
        <f>$C$3 - AF106 - Y106</f>
        <v>-85.874291310997549</v>
      </c>
      <c r="J106" s="232">
        <f>AH106-$C$4</f>
        <v>-2.7514114252938242</v>
      </c>
      <c r="K106" s="68">
        <f t="shared" si="21"/>
        <v>-30.656751115760422</v>
      </c>
      <c r="L106" s="68">
        <f t="shared" si="22"/>
        <v>-40</v>
      </c>
      <c r="M106" s="68">
        <f t="shared" si="23"/>
        <v>-2.7514114252938242</v>
      </c>
      <c r="N106" s="226">
        <f>E106*COS(RADIANS($C$2)) + G106*SIN(RADIANS($C$2))</f>
        <v>115.59235037420349</v>
      </c>
      <c r="O106" s="226">
        <f>F106</f>
        <v>32</v>
      </c>
      <c r="P106" s="226">
        <f>-E106*SIN(RADIANS($C$2)) + G106*COS(RADIANS($C$2))</f>
        <v>-68.515753918112722</v>
      </c>
      <c r="Q106" s="227">
        <f t="shared" si="24"/>
        <v>-0.53506124493446461</v>
      </c>
      <c r="R106" s="227">
        <f t="shared" si="25"/>
        <v>-30.656751115760422</v>
      </c>
      <c r="S106" s="236">
        <f t="shared" si="26"/>
        <v>134.37261625792661</v>
      </c>
      <c r="T106" s="236">
        <f t="shared" si="27"/>
        <v>32</v>
      </c>
      <c r="U106" s="236">
        <f t="shared" si="28"/>
        <v>0</v>
      </c>
      <c r="V106" s="237">
        <f t="shared" si="29"/>
        <v>118.37261625792661</v>
      </c>
      <c r="W106" s="237">
        <f t="shared" si="30"/>
        <v>32</v>
      </c>
      <c r="X106" s="235">
        <f t="shared" si="31"/>
        <v>0.26402198954966821</v>
      </c>
      <c r="Y106" s="235">
        <f t="shared" si="32"/>
        <v>15.127345699843115</v>
      </c>
      <c r="Z106" s="235">
        <f t="shared" si="33"/>
        <v>122.62167948509901</v>
      </c>
      <c r="AA106" s="238" t="str">
        <f t="shared" si="34"/>
        <v>TRUE</v>
      </c>
      <c r="AB106" s="235">
        <f t="shared" si="35"/>
        <v>6724</v>
      </c>
      <c r="AC106" s="235">
        <f t="shared" si="36"/>
        <v>15129</v>
      </c>
      <c r="AD106" s="236">
        <f t="shared" si="37"/>
        <v>15036.07627974635</v>
      </c>
      <c r="AE106" s="235">
        <f t="shared" si="38"/>
        <v>1.2347671366439967</v>
      </c>
      <c r="AF106" s="235">
        <f t="shared" si="39"/>
        <v>70.74694561115443</v>
      </c>
      <c r="AG106" s="236">
        <f t="shared" si="40"/>
        <v>1.2260691655074933</v>
      </c>
      <c r="AH106" s="235">
        <f t="shared" si="41"/>
        <v>70.248588574706176</v>
      </c>
    </row>
    <row r="107" spans="5:34" x14ac:dyDescent="0.25">
      <c r="E107" s="222">
        <v>35</v>
      </c>
      <c r="F107" s="223">
        <v>30</v>
      </c>
      <c r="G107" s="224">
        <v>131</v>
      </c>
      <c r="H107" s="232">
        <f>R107</f>
        <v>-30.958636073720864</v>
      </c>
      <c r="I107" s="232">
        <f>$C$3 - AF107 - Y107</f>
        <v>-84.437635650048762</v>
      </c>
      <c r="J107" s="232">
        <f>AH107-$C$4</f>
        <v>-2.248555375724635</v>
      </c>
      <c r="K107" s="68">
        <f t="shared" si="21"/>
        <v>-30.958636073720864</v>
      </c>
      <c r="L107" s="68">
        <f t="shared" si="22"/>
        <v>-40</v>
      </c>
      <c r="M107" s="68">
        <f t="shared" si="23"/>
        <v>-2.248555375724635</v>
      </c>
      <c r="N107" s="226">
        <f>E107*COS(RADIANS($C$2)) + G107*SIN(RADIANS($C$2))</f>
        <v>116.27797471432481</v>
      </c>
      <c r="O107" s="226">
        <f>F107</f>
        <v>30</v>
      </c>
      <c r="P107" s="226">
        <f>-E107*SIN(RADIANS($C$2)) + G107*COS(RADIANS($C$2))</f>
        <v>-69.752652969868038</v>
      </c>
      <c r="Q107" s="227">
        <f t="shared" si="24"/>
        <v>-0.54033013141311903</v>
      </c>
      <c r="R107" s="227">
        <f t="shared" si="25"/>
        <v>-30.958636073720864</v>
      </c>
      <c r="S107" s="236">
        <f t="shared" si="26"/>
        <v>135.59498515800649</v>
      </c>
      <c r="T107" s="236">
        <f t="shared" si="27"/>
        <v>30</v>
      </c>
      <c r="U107" s="236">
        <f t="shared" si="28"/>
        <v>0</v>
      </c>
      <c r="V107" s="237">
        <f t="shared" si="29"/>
        <v>119.59498515800649</v>
      </c>
      <c r="W107" s="237">
        <f t="shared" si="30"/>
        <v>30</v>
      </c>
      <c r="X107" s="235">
        <f t="shared" si="31"/>
        <v>0.24577534042259508</v>
      </c>
      <c r="Y107" s="235">
        <f t="shared" si="32"/>
        <v>14.081889714605756</v>
      </c>
      <c r="Z107" s="235">
        <f t="shared" si="33"/>
        <v>123.30028578613998</v>
      </c>
      <c r="AA107" s="238" t="str">
        <f t="shared" si="34"/>
        <v>TRUE</v>
      </c>
      <c r="AB107" s="235">
        <f t="shared" si="35"/>
        <v>6724</v>
      </c>
      <c r="AC107" s="235">
        <f t="shared" si="36"/>
        <v>15129</v>
      </c>
      <c r="AD107" s="236">
        <f t="shared" si="37"/>
        <v>15202.960474943793</v>
      </c>
      <c r="AE107" s="235">
        <f t="shared" si="38"/>
        <v>1.2279394142700983</v>
      </c>
      <c r="AF107" s="235">
        <f t="shared" si="39"/>
        <v>70.355745935443011</v>
      </c>
      <c r="AG107" s="236">
        <f t="shared" si="40"/>
        <v>1.2348456592360475</v>
      </c>
      <c r="AH107" s="235">
        <f t="shared" si="41"/>
        <v>70.751444624275365</v>
      </c>
    </row>
    <row r="108" spans="5:34" x14ac:dyDescent="0.25">
      <c r="E108" s="222">
        <v>35</v>
      </c>
      <c r="F108" s="223">
        <v>28</v>
      </c>
      <c r="G108" s="224">
        <v>132</v>
      </c>
      <c r="H108" s="232">
        <f>R108</f>
        <v>-30.850338298984223</v>
      </c>
      <c r="I108" s="232">
        <f>$C$3 - AF108 - Y108</f>
        <v>-83.160228305763425</v>
      </c>
      <c r="J108" s="232">
        <f>AH108-$C$4</f>
        <v>-1.8997020864322991</v>
      </c>
      <c r="K108" s="68">
        <f t="shared" si="21"/>
        <v>-30.850338298984223</v>
      </c>
      <c r="L108" s="68">
        <f t="shared" si="22"/>
        <v>-40</v>
      </c>
      <c r="M108" s="68">
        <f t="shared" si="23"/>
        <v>-1.8997020864322991</v>
      </c>
      <c r="N108" s="226">
        <f>E108*COS(RADIANS($C$2)) + G108*SIN(RADIANS($C$2))</f>
        <v>117.23923641026313</v>
      </c>
      <c r="O108" s="226">
        <f>F108</f>
        <v>28</v>
      </c>
      <c r="P108" s="226">
        <f>-E108*SIN(RADIANS($C$2)) + G108*COS(RADIANS($C$2))</f>
        <v>-70.028290325685035</v>
      </c>
      <c r="Q108" s="227">
        <f t="shared" si="24"/>
        <v>-0.53843997867138149</v>
      </c>
      <c r="R108" s="227">
        <f t="shared" si="25"/>
        <v>-30.850338298984223</v>
      </c>
      <c r="S108" s="236">
        <f t="shared" si="26"/>
        <v>136.56134152826706</v>
      </c>
      <c r="T108" s="236">
        <f t="shared" si="27"/>
        <v>28</v>
      </c>
      <c r="U108" s="236">
        <f t="shared" si="28"/>
        <v>0</v>
      </c>
      <c r="V108" s="237">
        <f t="shared" si="29"/>
        <v>120.56134152826706</v>
      </c>
      <c r="W108" s="237">
        <f t="shared" si="30"/>
        <v>28</v>
      </c>
      <c r="X108" s="235">
        <f t="shared" si="31"/>
        <v>0.2282013657594989</v>
      </c>
      <c r="Y108" s="235">
        <f t="shared" si="32"/>
        <v>13.074975137140504</v>
      </c>
      <c r="Z108" s="235">
        <f t="shared" si="33"/>
        <v>123.77009764517216</v>
      </c>
      <c r="AA108" s="238" t="str">
        <f t="shared" si="34"/>
        <v>TRUE</v>
      </c>
      <c r="AB108" s="235">
        <f t="shared" si="35"/>
        <v>6724</v>
      </c>
      <c r="AC108" s="235">
        <f t="shared" si="36"/>
        <v>15129</v>
      </c>
      <c r="AD108" s="236">
        <f t="shared" si="37"/>
        <v>15319.03707109545</v>
      </c>
      <c r="AE108" s="235">
        <f t="shared" si="38"/>
        <v>1.2232184248862588</v>
      </c>
      <c r="AF108" s="235">
        <f t="shared" si="39"/>
        <v>70.085253168622927</v>
      </c>
      <c r="AG108" s="236">
        <f t="shared" si="40"/>
        <v>1.240934297740611</v>
      </c>
      <c r="AH108" s="235">
        <f t="shared" si="41"/>
        <v>71.100297913567701</v>
      </c>
    </row>
    <row r="109" spans="5:34" x14ac:dyDescent="0.25">
      <c r="E109" s="222">
        <v>35</v>
      </c>
      <c r="F109" s="223">
        <v>26</v>
      </c>
      <c r="G109" s="224">
        <v>133</v>
      </c>
      <c r="H109" s="232">
        <f>R109</f>
        <v>-30.743562836470733</v>
      </c>
      <c r="I109" s="232">
        <f>$C$3 - AF109 - Y109</f>
        <v>-81.868884768237166</v>
      </c>
      <c r="J109" s="232">
        <f>AH109-$C$4</f>
        <v>-1.5216628107197323</v>
      </c>
      <c r="K109" s="68">
        <f t="shared" si="21"/>
        <v>-30.743562836470733</v>
      </c>
      <c r="L109" s="68">
        <f t="shared" si="22"/>
        <v>-40</v>
      </c>
      <c r="M109" s="68">
        <f t="shared" si="23"/>
        <v>-1.5216628107197323</v>
      </c>
      <c r="N109" s="226">
        <f>E109*COS(RADIANS($C$2)) + G109*SIN(RADIANS($C$2))</f>
        <v>118.20049810620145</v>
      </c>
      <c r="O109" s="226">
        <f>F109</f>
        <v>26</v>
      </c>
      <c r="P109" s="226">
        <f>-E109*SIN(RADIANS($C$2)) + G109*COS(RADIANS($C$2))</f>
        <v>-70.303927681502046</v>
      </c>
      <c r="Q109" s="227">
        <f t="shared" si="24"/>
        <v>-0.53657639529018131</v>
      </c>
      <c r="R109" s="227">
        <f t="shared" si="25"/>
        <v>-30.743562836470733</v>
      </c>
      <c r="S109" s="236">
        <f t="shared" si="26"/>
        <v>137.52817893071952</v>
      </c>
      <c r="T109" s="236">
        <f t="shared" si="27"/>
        <v>26</v>
      </c>
      <c r="U109" s="236">
        <f t="shared" si="28"/>
        <v>0</v>
      </c>
      <c r="V109" s="237">
        <f t="shared" si="29"/>
        <v>121.52817893071952</v>
      </c>
      <c r="W109" s="237">
        <f t="shared" si="30"/>
        <v>26</v>
      </c>
      <c r="X109" s="235">
        <f t="shared" si="31"/>
        <v>0.21076483003276841</v>
      </c>
      <c r="Y109" s="235">
        <f t="shared" si="32"/>
        <v>12.075935230669771</v>
      </c>
      <c r="Z109" s="235">
        <f t="shared" si="33"/>
        <v>124.27830974959782</v>
      </c>
      <c r="AA109" s="238" t="str">
        <f t="shared" si="34"/>
        <v>TRUE</v>
      </c>
      <c r="AB109" s="235">
        <f t="shared" si="35"/>
        <v>6724</v>
      </c>
      <c r="AC109" s="235">
        <f t="shared" si="36"/>
        <v>15129</v>
      </c>
      <c r="AD109" s="236">
        <f t="shared" si="37"/>
        <v>15445.098274216982</v>
      </c>
      <c r="AE109" s="235">
        <f t="shared" si="38"/>
        <v>1.2181167641088049</v>
      </c>
      <c r="AF109" s="235">
        <f t="shared" si="39"/>
        <v>69.792949537567395</v>
      </c>
      <c r="AG109" s="236">
        <f t="shared" si="40"/>
        <v>1.2475323278036499</v>
      </c>
      <c r="AH109" s="235">
        <f t="shared" si="41"/>
        <v>71.478337189280268</v>
      </c>
    </row>
    <row r="110" spans="5:34" x14ac:dyDescent="0.25">
      <c r="E110" s="222">
        <v>35</v>
      </c>
      <c r="F110" s="223">
        <v>21</v>
      </c>
      <c r="G110" s="224">
        <v>136</v>
      </c>
      <c r="H110" s="232">
        <f>R110</f>
        <v>-30.43206293613591</v>
      </c>
      <c r="I110" s="232">
        <f>$C$3 - AF110 - Y110</f>
        <v>-78.274692387214799</v>
      </c>
      <c r="J110" s="232">
        <f>AH110-$C$4</f>
        <v>-9.2350481573134857E-2</v>
      </c>
      <c r="K110" s="68">
        <f t="shared" si="21"/>
        <v>-30.43206293613591</v>
      </c>
      <c r="L110" s="68">
        <f t="shared" si="22"/>
        <v>-40</v>
      </c>
      <c r="M110" s="68">
        <f t="shared" si="23"/>
        <v>-9.2350481573134857E-2</v>
      </c>
      <c r="N110" s="226">
        <f>E110*COS(RADIANS($C$2)) + G110*SIN(RADIANS($C$2))</f>
        <v>121.08428319401641</v>
      </c>
      <c r="O110" s="226">
        <f>F110</f>
        <v>21</v>
      </c>
      <c r="P110" s="226">
        <f>-E110*SIN(RADIANS($C$2)) + G110*COS(RADIANS($C$2))</f>
        <v>-71.130839748953036</v>
      </c>
      <c r="Q110" s="227">
        <f t="shared" si="24"/>
        <v>-0.53113969640970449</v>
      </c>
      <c r="R110" s="227">
        <f t="shared" si="25"/>
        <v>-30.43206293613591</v>
      </c>
      <c r="S110" s="236">
        <f t="shared" si="26"/>
        <v>140.43147795277241</v>
      </c>
      <c r="T110" s="236">
        <f t="shared" si="27"/>
        <v>21</v>
      </c>
      <c r="U110" s="236">
        <f t="shared" si="28"/>
        <v>0</v>
      </c>
      <c r="V110" s="237">
        <f t="shared" si="29"/>
        <v>124.43147795277241</v>
      </c>
      <c r="W110" s="237">
        <f t="shared" si="30"/>
        <v>21</v>
      </c>
      <c r="X110" s="235">
        <f t="shared" si="31"/>
        <v>0.16719211489789848</v>
      </c>
      <c r="Y110" s="235">
        <f t="shared" si="32"/>
        <v>9.5794025515159174</v>
      </c>
      <c r="Z110" s="235">
        <f t="shared" si="33"/>
        <v>126.19109598347772</v>
      </c>
      <c r="AA110" s="238" t="str">
        <f t="shared" si="34"/>
        <v>TRUE</v>
      </c>
      <c r="AB110" s="235">
        <f t="shared" si="35"/>
        <v>6724</v>
      </c>
      <c r="AC110" s="235">
        <f t="shared" si="36"/>
        <v>15129</v>
      </c>
      <c r="AD110" s="236">
        <f t="shared" si="37"/>
        <v>15924.192705511288</v>
      </c>
      <c r="AE110" s="235">
        <f t="shared" si="38"/>
        <v>1.19895898824474</v>
      </c>
      <c r="AF110" s="235">
        <f t="shared" si="39"/>
        <v>68.695289835698887</v>
      </c>
      <c r="AG110" s="236">
        <f t="shared" si="40"/>
        <v>1.2724785339866069</v>
      </c>
      <c r="AH110" s="235">
        <f t="shared" si="41"/>
        <v>72.907649518426865</v>
      </c>
    </row>
    <row r="111" spans="5:34" x14ac:dyDescent="0.25">
      <c r="E111" s="222">
        <v>35</v>
      </c>
      <c r="F111" s="223">
        <v>19</v>
      </c>
      <c r="G111" s="224">
        <v>137</v>
      </c>
      <c r="H111" s="232">
        <f>R111</f>
        <v>-30.331073350285063</v>
      </c>
      <c r="I111" s="232">
        <f>$C$3 - AF111 - Y111</f>
        <v>-76.944287085776764</v>
      </c>
      <c r="J111" s="232">
        <f>AH111-$C$4</f>
        <v>0.38844410419090991</v>
      </c>
      <c r="K111" s="68">
        <f t="shared" si="21"/>
        <v>-30.331073350285063</v>
      </c>
      <c r="L111" s="68">
        <f t="shared" si="22"/>
        <v>-40</v>
      </c>
      <c r="M111" s="68">
        <f t="shared" si="23"/>
        <v>0.38844410419090991</v>
      </c>
      <c r="N111" s="226">
        <f>E111*COS(RADIANS($C$2)) + G111*SIN(RADIANS($C$2))</f>
        <v>122.04554488995474</v>
      </c>
      <c r="O111" s="226">
        <f>F111</f>
        <v>19</v>
      </c>
      <c r="P111" s="226">
        <f>-E111*SIN(RADIANS($C$2)) + G111*COS(RADIANS($C$2))</f>
        <v>-71.406477104770033</v>
      </c>
      <c r="Q111" s="227">
        <f t="shared" si="24"/>
        <v>-0.52937709562638169</v>
      </c>
      <c r="R111" s="227">
        <f t="shared" si="25"/>
        <v>-30.331073350285063</v>
      </c>
      <c r="S111" s="236">
        <f t="shared" si="26"/>
        <v>141.40014144264495</v>
      </c>
      <c r="T111" s="236">
        <f t="shared" si="27"/>
        <v>19</v>
      </c>
      <c r="U111" s="236">
        <f t="shared" si="28"/>
        <v>0</v>
      </c>
      <c r="V111" s="237">
        <f t="shared" si="29"/>
        <v>125.40014144264495</v>
      </c>
      <c r="W111" s="237">
        <f t="shared" si="30"/>
        <v>19</v>
      </c>
      <c r="X111" s="235">
        <f t="shared" si="31"/>
        <v>0.15037126094381484</v>
      </c>
      <c r="Y111" s="235">
        <f t="shared" si="32"/>
        <v>8.615638612140982</v>
      </c>
      <c r="Z111" s="235">
        <f t="shared" si="33"/>
        <v>126.83136628545543</v>
      </c>
      <c r="AA111" s="238" t="str">
        <f t="shared" si="34"/>
        <v>TRUE</v>
      </c>
      <c r="AB111" s="235">
        <f t="shared" si="35"/>
        <v>6724</v>
      </c>
      <c r="AC111" s="235">
        <f t="shared" si="36"/>
        <v>15129</v>
      </c>
      <c r="AD111" s="236">
        <f t="shared" si="37"/>
        <v>16086.19547383536</v>
      </c>
      <c r="AE111" s="235">
        <f t="shared" si="38"/>
        <v>1.1925598893027423</v>
      </c>
      <c r="AF111" s="235">
        <f t="shared" si="39"/>
        <v>68.328648473635781</v>
      </c>
      <c r="AG111" s="236">
        <f t="shared" si="40"/>
        <v>1.2808699825339518</v>
      </c>
      <c r="AH111" s="235">
        <f t="shared" si="41"/>
        <v>73.38844410419091</v>
      </c>
    </row>
    <row r="112" spans="5:34" x14ac:dyDescent="0.25">
      <c r="E112" s="222">
        <v>35</v>
      </c>
      <c r="F112" s="223">
        <v>16</v>
      </c>
      <c r="G112" s="224">
        <v>138</v>
      </c>
      <c r="H112" s="232">
        <f>R112</f>
        <v>-30.231458315642602</v>
      </c>
      <c r="I112" s="232">
        <f>$C$3 - AF112 - Y112</f>
        <v>-75.231829188396034</v>
      </c>
      <c r="J112" s="232">
        <f>AH112-$C$4</f>
        <v>0.79997919778429605</v>
      </c>
      <c r="K112" s="68">
        <f t="shared" si="21"/>
        <v>-30.231458315642602</v>
      </c>
      <c r="L112" s="68">
        <f t="shared" si="22"/>
        <v>-40</v>
      </c>
      <c r="M112" s="68">
        <f t="shared" si="23"/>
        <v>0.79997919778429605</v>
      </c>
      <c r="N112" s="226">
        <f>E112*COS(RADIANS($C$2)) + G112*SIN(RADIANS($C$2))</f>
        <v>123.00680658589305</v>
      </c>
      <c r="O112" s="226">
        <f>F112</f>
        <v>16</v>
      </c>
      <c r="P112" s="226">
        <f>-E112*SIN(RADIANS($C$2)) + G112*COS(RADIANS($C$2))</f>
        <v>-71.68211446058703</v>
      </c>
      <c r="Q112" s="227">
        <f t="shared" si="24"/>
        <v>-0.52763848528738255</v>
      </c>
      <c r="R112" s="227">
        <f t="shared" si="25"/>
        <v>-30.231458315642602</v>
      </c>
      <c r="S112" s="236">
        <f t="shared" si="26"/>
        <v>142.36923825040299</v>
      </c>
      <c r="T112" s="236">
        <f t="shared" si="27"/>
        <v>16</v>
      </c>
      <c r="U112" s="236">
        <f t="shared" si="28"/>
        <v>0</v>
      </c>
      <c r="V112" s="237">
        <f t="shared" si="29"/>
        <v>126.36923825040299</v>
      </c>
      <c r="W112" s="237">
        <f t="shared" si="30"/>
        <v>16</v>
      </c>
      <c r="X112" s="235">
        <f t="shared" si="31"/>
        <v>0.12594295323638455</v>
      </c>
      <c r="Y112" s="235">
        <f t="shared" si="32"/>
        <v>7.215999679858327</v>
      </c>
      <c r="Z112" s="235">
        <f t="shared" si="33"/>
        <v>127.37811576557063</v>
      </c>
      <c r="AA112" s="238" t="str">
        <f t="shared" si="34"/>
        <v>TRUE</v>
      </c>
      <c r="AB112" s="235">
        <f t="shared" si="35"/>
        <v>6724</v>
      </c>
      <c r="AC112" s="235">
        <f t="shared" si="36"/>
        <v>15129</v>
      </c>
      <c r="AD112" s="236">
        <f t="shared" si="37"/>
        <v>16225.184375987112</v>
      </c>
      <c r="AE112" s="235">
        <f t="shared" si="38"/>
        <v>1.1871001683990996</v>
      </c>
      <c r="AF112" s="235">
        <f t="shared" si="39"/>
        <v>68.015829508537706</v>
      </c>
      <c r="AG112" s="236">
        <f t="shared" si="40"/>
        <v>1.2880526249046595</v>
      </c>
      <c r="AH112" s="235">
        <f t="shared" si="41"/>
        <v>73.799979197784296</v>
      </c>
    </row>
    <row r="113" spans="5:34" x14ac:dyDescent="0.25">
      <c r="E113" s="222">
        <v>35</v>
      </c>
      <c r="F113" s="223">
        <v>13</v>
      </c>
      <c r="G113" s="224">
        <v>139</v>
      </c>
      <c r="H113" s="232">
        <f>R113</f>
        <v>-30.133190548862917</v>
      </c>
      <c r="I113" s="232">
        <f>$C$3 - AF113 - Y113</f>
        <v>-73.489065952580901</v>
      </c>
      <c r="J113" s="232">
        <f>AH113-$C$4</f>
        <v>1.2696433105359688</v>
      </c>
      <c r="K113" s="68">
        <f t="shared" si="21"/>
        <v>-30.133190548862917</v>
      </c>
      <c r="L113" s="68">
        <f t="shared" si="22"/>
        <v>-40</v>
      </c>
      <c r="M113" s="68">
        <f t="shared" si="23"/>
        <v>1.2696433105359688</v>
      </c>
      <c r="N113" s="226">
        <f>E113*COS(RADIANS($C$2)) + G113*SIN(RADIANS($C$2))</f>
        <v>123.96806828183135</v>
      </c>
      <c r="O113" s="226">
        <f>F113</f>
        <v>13</v>
      </c>
      <c r="P113" s="226">
        <f>-E113*SIN(RADIANS($C$2)) + G113*COS(RADIANS($C$2))</f>
        <v>-71.957751816404027</v>
      </c>
      <c r="Q113" s="227">
        <f t="shared" si="24"/>
        <v>-0.52592338920849513</v>
      </c>
      <c r="R113" s="227">
        <f t="shared" si="25"/>
        <v>-30.133190548862917</v>
      </c>
      <c r="S113" s="236">
        <f t="shared" si="26"/>
        <v>143.33875958721003</v>
      </c>
      <c r="T113" s="236">
        <f t="shared" si="27"/>
        <v>13</v>
      </c>
      <c r="U113" s="236">
        <f t="shared" si="28"/>
        <v>0</v>
      </c>
      <c r="V113" s="237">
        <f t="shared" si="29"/>
        <v>127.33875958721003</v>
      </c>
      <c r="W113" s="237">
        <f t="shared" si="30"/>
        <v>13</v>
      </c>
      <c r="X113" s="235">
        <f t="shared" si="31"/>
        <v>0.10173741980888536</v>
      </c>
      <c r="Y113" s="235">
        <f t="shared" si="32"/>
        <v>5.8291247735997898</v>
      </c>
      <c r="Z113" s="235">
        <f t="shared" si="33"/>
        <v>128.0006238000787</v>
      </c>
      <c r="AA113" s="238" t="str">
        <f t="shared" si="34"/>
        <v>TRUE</v>
      </c>
      <c r="AB113" s="235">
        <f t="shared" si="35"/>
        <v>6724</v>
      </c>
      <c r="AC113" s="235">
        <f t="shared" si="36"/>
        <v>15129</v>
      </c>
      <c r="AD113" s="236">
        <f t="shared" si="37"/>
        <v>16384.159693209273</v>
      </c>
      <c r="AE113" s="235">
        <f t="shared" si="38"/>
        <v>1.1808887452789145</v>
      </c>
      <c r="AF113" s="235">
        <f t="shared" si="39"/>
        <v>67.659941178981114</v>
      </c>
      <c r="AG113" s="236">
        <f t="shared" si="40"/>
        <v>1.2962498100506341</v>
      </c>
      <c r="AH113" s="235">
        <f t="shared" si="41"/>
        <v>74.269643310535969</v>
      </c>
    </row>
    <row r="114" spans="5:34" x14ac:dyDescent="0.25">
      <c r="E114" s="222">
        <v>35</v>
      </c>
      <c r="F114" s="223">
        <v>11</v>
      </c>
      <c r="G114" s="224">
        <v>141</v>
      </c>
      <c r="H114" s="232">
        <f>R114</f>
        <v>-29.940591170289999</v>
      </c>
      <c r="I114" s="232">
        <f>$C$3 - AF114 - Y114</f>
        <v>-71.526757505812228</v>
      </c>
      <c r="J114" s="232">
        <f>AH114-$C$4</f>
        <v>2.5930882005106923</v>
      </c>
      <c r="K114" s="68">
        <f t="shared" si="21"/>
        <v>-29.940591170289999</v>
      </c>
      <c r="L114" s="68">
        <f t="shared" si="22"/>
        <v>-40</v>
      </c>
      <c r="M114" s="68">
        <f t="shared" si="23"/>
        <v>2.5930882005106923</v>
      </c>
      <c r="N114" s="226">
        <f>E114*COS(RADIANS($C$2)) + G114*SIN(RADIANS($C$2))</f>
        <v>125.89059167370802</v>
      </c>
      <c r="O114" s="226">
        <f>F114</f>
        <v>11</v>
      </c>
      <c r="P114" s="226">
        <f>-E114*SIN(RADIANS($C$2)) + G114*COS(RADIANS($C$2))</f>
        <v>-72.509026528038021</v>
      </c>
      <c r="Q114" s="227">
        <f t="shared" si="24"/>
        <v>-0.52256189591510271</v>
      </c>
      <c r="R114" s="227">
        <f t="shared" si="25"/>
        <v>-29.940591170289999</v>
      </c>
      <c r="S114" s="236">
        <f t="shared" si="26"/>
        <v>145.27904184706068</v>
      </c>
      <c r="T114" s="236">
        <f t="shared" si="27"/>
        <v>11</v>
      </c>
      <c r="U114" s="236">
        <f t="shared" si="28"/>
        <v>0</v>
      </c>
      <c r="V114" s="237">
        <f t="shared" si="29"/>
        <v>129.27904184706068</v>
      </c>
      <c r="W114" s="237">
        <f t="shared" si="30"/>
        <v>11</v>
      </c>
      <c r="X114" s="235">
        <f t="shared" si="31"/>
        <v>8.4882812206908909E-2</v>
      </c>
      <c r="Y114" s="235">
        <f t="shared" si="32"/>
        <v>4.8634268926574258</v>
      </c>
      <c r="Z114" s="235">
        <f t="shared" si="33"/>
        <v>129.74617782768811</v>
      </c>
      <c r="AA114" s="238" t="str">
        <f t="shared" si="34"/>
        <v>TRUE</v>
      </c>
      <c r="AB114" s="235">
        <f t="shared" si="35"/>
        <v>6724</v>
      </c>
      <c r="AC114" s="235">
        <f t="shared" si="36"/>
        <v>15129</v>
      </c>
      <c r="AD114" s="236">
        <f t="shared" si="37"/>
        <v>16834.070660894067</v>
      </c>
      <c r="AE114" s="235">
        <f t="shared" si="38"/>
        <v>1.1634946095450815</v>
      </c>
      <c r="AF114" s="235">
        <f t="shared" si="39"/>
        <v>66.663330613154798</v>
      </c>
      <c r="AG114" s="236">
        <f t="shared" si="40"/>
        <v>1.319348280849387</v>
      </c>
      <c r="AH114" s="235">
        <f t="shared" si="41"/>
        <v>75.593088200510692</v>
      </c>
    </row>
    <row r="115" spans="5:34" x14ac:dyDescent="0.25">
      <c r="E115" s="222">
        <v>35</v>
      </c>
      <c r="F115" s="223">
        <v>8</v>
      </c>
      <c r="G115" s="224">
        <v>142</v>
      </c>
      <c r="H115" s="232">
        <f>R115</f>
        <v>-29.84620841182652</v>
      </c>
      <c r="I115" s="232">
        <f>$C$3 - AF115 - Y115</f>
        <v>-69.750861551592152</v>
      </c>
      <c r="J115" s="232">
        <f>AH115-$C$4</f>
        <v>3.1640332828227855</v>
      </c>
      <c r="K115" s="68">
        <f t="shared" si="21"/>
        <v>-29.84620841182652</v>
      </c>
      <c r="L115" s="68">
        <f t="shared" si="22"/>
        <v>-40</v>
      </c>
      <c r="M115" s="68">
        <f t="shared" si="23"/>
        <v>3.1640332828227855</v>
      </c>
      <c r="N115" s="226">
        <f>E115*COS(RADIANS($C$2)) + G115*SIN(RADIANS($C$2))</f>
        <v>126.85185336964632</v>
      </c>
      <c r="O115" s="226">
        <f>F115</f>
        <v>8</v>
      </c>
      <c r="P115" s="226">
        <f>-E115*SIN(RADIANS($C$2)) + G115*COS(RADIANS($C$2))</f>
        <v>-72.784663883855018</v>
      </c>
      <c r="Q115" s="227">
        <f t="shared" si="24"/>
        <v>-0.52091460602280049</v>
      </c>
      <c r="R115" s="227">
        <f t="shared" si="25"/>
        <v>-29.84620841182652</v>
      </c>
      <c r="S115" s="236">
        <f t="shared" si="26"/>
        <v>146.24978632463024</v>
      </c>
      <c r="T115" s="236">
        <f t="shared" si="27"/>
        <v>8</v>
      </c>
      <c r="U115" s="236">
        <f t="shared" si="28"/>
        <v>0</v>
      </c>
      <c r="V115" s="237">
        <f t="shared" si="29"/>
        <v>130.24978632463024</v>
      </c>
      <c r="W115" s="237">
        <f t="shared" si="30"/>
        <v>8</v>
      </c>
      <c r="X115" s="235">
        <f t="shared" si="31"/>
        <v>6.1343384979715601E-2</v>
      </c>
      <c r="Y115" s="235">
        <f t="shared" si="32"/>
        <v>3.5147170603839109</v>
      </c>
      <c r="Z115" s="235">
        <f t="shared" si="33"/>
        <v>130.49523683878976</v>
      </c>
      <c r="AA115" s="238" t="str">
        <f t="shared" si="34"/>
        <v>TRUE</v>
      </c>
      <c r="AB115" s="235">
        <f t="shared" si="35"/>
        <v>6724</v>
      </c>
      <c r="AC115" s="235">
        <f t="shared" si="36"/>
        <v>15129</v>
      </c>
      <c r="AD115" s="236">
        <f t="shared" si="37"/>
        <v>17029.006837611832</v>
      </c>
      <c r="AE115" s="235">
        <f t="shared" si="38"/>
        <v>1.1560388051982879</v>
      </c>
      <c r="AF115" s="235">
        <f t="shared" si="39"/>
        <v>66.236144491208236</v>
      </c>
      <c r="AG115" s="236">
        <f t="shared" si="40"/>
        <v>1.3293131523838031</v>
      </c>
      <c r="AH115" s="235">
        <f t="shared" si="41"/>
        <v>76.164033282822786</v>
      </c>
    </row>
    <row r="116" spans="5:34" x14ac:dyDescent="0.25">
      <c r="E116" s="222">
        <v>35</v>
      </c>
      <c r="F116" s="223">
        <v>5</v>
      </c>
      <c r="G116" s="224">
        <v>143</v>
      </c>
      <c r="H116" s="232">
        <f>R116</f>
        <v>-29.753070586523044</v>
      </c>
      <c r="I116" s="232">
        <f>$C$3 - AF116 - Y116</f>
        <v>-67.950355485756248</v>
      </c>
      <c r="J116" s="232">
        <f>AH116-$C$4</f>
        <v>3.7919017247507298</v>
      </c>
      <c r="K116" s="68">
        <f t="shared" si="21"/>
        <v>-29.753070586523044</v>
      </c>
      <c r="L116" s="68">
        <f t="shared" si="22"/>
        <v>-40</v>
      </c>
      <c r="M116" s="68">
        <f t="shared" si="23"/>
        <v>3.7919017247507298</v>
      </c>
      <c r="N116" s="226">
        <f>E116*COS(RADIANS($C$2)) + G116*SIN(RADIANS($C$2))</f>
        <v>127.81311506558463</v>
      </c>
      <c r="O116" s="226">
        <f>F116</f>
        <v>5</v>
      </c>
      <c r="P116" s="226">
        <f>-E116*SIN(RADIANS($C$2)) + G116*COS(RADIANS($C$2))</f>
        <v>-73.060301239672029</v>
      </c>
      <c r="Q116" s="227">
        <f t="shared" si="24"/>
        <v>-0.51928904431310752</v>
      </c>
      <c r="R116" s="227">
        <f t="shared" si="25"/>
        <v>-29.753070586523044</v>
      </c>
      <c r="S116" s="236">
        <f t="shared" si="26"/>
        <v>147.220922426128</v>
      </c>
      <c r="T116" s="236">
        <f t="shared" si="27"/>
        <v>5</v>
      </c>
      <c r="U116" s="236">
        <f t="shared" si="28"/>
        <v>0</v>
      </c>
      <c r="V116" s="237">
        <f t="shared" si="29"/>
        <v>131.220922426128</v>
      </c>
      <c r="W116" s="237">
        <f t="shared" si="30"/>
        <v>5</v>
      </c>
      <c r="X116" s="235">
        <f t="shared" si="31"/>
        <v>3.8085254973490967E-2</v>
      </c>
      <c r="Y116" s="235">
        <f t="shared" si="32"/>
        <v>2.1821243716606604</v>
      </c>
      <c r="Z116" s="235">
        <f t="shared" si="33"/>
        <v>131.31614707401334</v>
      </c>
      <c r="AA116" s="238" t="str">
        <f t="shared" si="34"/>
        <v>TRUE</v>
      </c>
      <c r="AB116" s="235">
        <f t="shared" si="35"/>
        <v>6724</v>
      </c>
      <c r="AC116" s="235">
        <f t="shared" si="36"/>
        <v>15129</v>
      </c>
      <c r="AD116" s="236">
        <f t="shared" si="37"/>
        <v>17243.930482363903</v>
      </c>
      <c r="AE116" s="235">
        <f t="shared" si="38"/>
        <v>1.1478721761535464</v>
      </c>
      <c r="AF116" s="235">
        <f t="shared" si="39"/>
        <v>65.768231114095585</v>
      </c>
      <c r="AG116" s="236">
        <f t="shared" si="40"/>
        <v>1.3402715239648124</v>
      </c>
      <c r="AH116" s="235">
        <f t="shared" si="41"/>
        <v>76.79190172475073</v>
      </c>
    </row>
    <row r="117" spans="5:34" x14ac:dyDescent="0.25">
      <c r="E117" s="222">
        <v>35</v>
      </c>
      <c r="F117" s="223">
        <v>2</v>
      </c>
      <c r="G117" s="224">
        <v>144</v>
      </c>
      <c r="H117" s="232">
        <f>R117</f>
        <v>-29.661153706905502</v>
      </c>
      <c r="I117" s="232">
        <f>$C$3 - AF117 - Y117</f>
        <v>-66.127134966444629</v>
      </c>
      <c r="J117" s="232">
        <f>AH117-$C$4</f>
        <v>4.4763220579163203</v>
      </c>
      <c r="K117" s="68">
        <f t="shared" si="21"/>
        <v>-29.661153706905502</v>
      </c>
      <c r="L117" s="68">
        <f t="shared" si="22"/>
        <v>-40</v>
      </c>
      <c r="M117" s="68">
        <f t="shared" si="23"/>
        <v>4.4763220579163203</v>
      </c>
      <c r="N117" s="226">
        <f>E117*COS(RADIANS($C$2)) + G117*SIN(RADIANS($C$2))</f>
        <v>128.77437676152294</v>
      </c>
      <c r="O117" s="226">
        <f>F117</f>
        <v>2</v>
      </c>
      <c r="P117" s="226">
        <f>-E117*SIN(RADIANS($C$2)) + G117*COS(RADIANS($C$2))</f>
        <v>-73.335938595489026</v>
      </c>
      <c r="Q117" s="227">
        <f t="shared" si="24"/>
        <v>-0.51768479212562213</v>
      </c>
      <c r="R117" s="227">
        <f t="shared" si="25"/>
        <v>-29.661153706905502</v>
      </c>
      <c r="S117" s="236">
        <f t="shared" si="26"/>
        <v>148.19244245237337</v>
      </c>
      <c r="T117" s="236">
        <f t="shared" si="27"/>
        <v>2</v>
      </c>
      <c r="U117" s="236">
        <f t="shared" si="28"/>
        <v>0</v>
      </c>
      <c r="V117" s="237">
        <f t="shared" si="29"/>
        <v>132.19244245237337</v>
      </c>
      <c r="W117" s="237">
        <f t="shared" si="30"/>
        <v>2</v>
      </c>
      <c r="X117" s="235">
        <f t="shared" si="31"/>
        <v>1.5128303732970659E-2</v>
      </c>
      <c r="Y117" s="235">
        <f t="shared" si="32"/>
        <v>0.86678795509122708</v>
      </c>
      <c r="Z117" s="235">
        <f t="shared" si="33"/>
        <v>132.20757104464192</v>
      </c>
      <c r="AA117" s="238" t="str">
        <f t="shared" si="34"/>
        <v>TRUE</v>
      </c>
      <c r="AB117" s="235">
        <f t="shared" si="35"/>
        <v>6724</v>
      </c>
      <c r="AC117" s="235">
        <f t="shared" si="36"/>
        <v>15129</v>
      </c>
      <c r="AD117" s="236">
        <f t="shared" si="37"/>
        <v>17478.841841524041</v>
      </c>
      <c r="AE117" s="235">
        <f t="shared" si="38"/>
        <v>1.1390079263421582</v>
      </c>
      <c r="AF117" s="235">
        <f t="shared" si="39"/>
        <v>65.260347011353403</v>
      </c>
      <c r="AG117" s="236">
        <f t="shared" si="40"/>
        <v>1.3522169122461487</v>
      </c>
      <c r="AH117" s="235">
        <f t="shared" si="41"/>
        <v>77.47632205791632</v>
      </c>
    </row>
    <row r="118" spans="5:34" x14ac:dyDescent="0.25">
      <c r="E118" s="222">
        <v>36</v>
      </c>
      <c r="F118" s="223">
        <v>0</v>
      </c>
      <c r="G118" s="224">
        <v>146</v>
      </c>
      <c r="H118" s="232">
        <f>R118</f>
        <v>-29.851419013804982</v>
      </c>
      <c r="I118" s="232">
        <f>$C$3 - AF118 - Y118</f>
        <v>-64.027138846002728</v>
      </c>
      <c r="J118" s="232">
        <f>AH118-$C$4</f>
        <v>6.1506194390690041</v>
      </c>
      <c r="K118" s="68">
        <f t="shared" si="21"/>
        <v>-29.851419013804982</v>
      </c>
      <c r="L118" s="68">
        <f t="shared" si="22"/>
        <v>-40</v>
      </c>
      <c r="M118" s="68">
        <f t="shared" si="23"/>
        <v>6.1506194390690041</v>
      </c>
      <c r="N118" s="226">
        <f>E118*COS(RADIANS($C$2)) + G118*SIN(RADIANS($C$2))</f>
        <v>130.42126279758259</v>
      </c>
      <c r="O118" s="226">
        <f>F118</f>
        <v>0</v>
      </c>
      <c r="P118" s="226">
        <f>-E118*SIN(RADIANS($C$2)) + G118*COS(RADIANS($C$2))</f>
        <v>-74.848475003061338</v>
      </c>
      <c r="Q118" s="227">
        <f t="shared" si="24"/>
        <v>-0.52100554818333555</v>
      </c>
      <c r="R118" s="227">
        <f t="shared" si="25"/>
        <v>-29.851419013804982</v>
      </c>
      <c r="S118" s="236">
        <f t="shared" si="26"/>
        <v>150.37286989347513</v>
      </c>
      <c r="T118" s="236">
        <f t="shared" si="27"/>
        <v>0</v>
      </c>
      <c r="U118" s="236">
        <f t="shared" si="28"/>
        <v>0</v>
      </c>
      <c r="V118" s="237">
        <f t="shared" si="29"/>
        <v>134.37286989347513</v>
      </c>
      <c r="W118" s="237">
        <f t="shared" si="30"/>
        <v>0</v>
      </c>
      <c r="X118" s="235">
        <f t="shared" si="31"/>
        <v>0</v>
      </c>
      <c r="Y118" s="235">
        <f t="shared" si="32"/>
        <v>0</v>
      </c>
      <c r="Z118" s="235">
        <f t="shared" si="33"/>
        <v>134.37286989347513</v>
      </c>
      <c r="AA118" s="238" t="str">
        <f t="shared" si="34"/>
        <v>TRUE</v>
      </c>
      <c r="AB118" s="235">
        <f t="shared" si="35"/>
        <v>6724</v>
      </c>
      <c r="AC118" s="235">
        <f t="shared" si="36"/>
        <v>15129</v>
      </c>
      <c r="AD118" s="236">
        <f t="shared" si="37"/>
        <v>18056.068163408792</v>
      </c>
      <c r="AE118" s="235">
        <f t="shared" si="38"/>
        <v>1.1174843834943102</v>
      </c>
      <c r="AF118" s="235">
        <f t="shared" si="39"/>
        <v>64.027138846002728</v>
      </c>
      <c r="AG118" s="236">
        <f t="shared" si="40"/>
        <v>1.3814389142047814</v>
      </c>
      <c r="AH118" s="235">
        <f t="shared" si="41"/>
        <v>79.150619439069004</v>
      </c>
    </row>
    <row r="119" spans="5:34" x14ac:dyDescent="0.25">
      <c r="E119" s="222">
        <v>35</v>
      </c>
      <c r="F119" s="223">
        <v>0</v>
      </c>
      <c r="G119" s="224">
        <v>144</v>
      </c>
      <c r="H119" s="232">
        <f>R119</f>
        <v>-29.661153706905502</v>
      </c>
      <c r="I119" s="232">
        <f>$C$3 - AF119 - Y119</f>
        <v>-65.26896496210523</v>
      </c>
      <c r="J119" s="232">
        <f>AH119-$C$4</f>
        <v>4.4646834301127427</v>
      </c>
      <c r="K119" s="68">
        <f t="shared" si="21"/>
        <v>-29.661153706905502</v>
      </c>
      <c r="L119" s="68">
        <f t="shared" si="22"/>
        <v>-40</v>
      </c>
      <c r="M119" s="68">
        <f t="shared" si="23"/>
        <v>4.4646834301127427</v>
      </c>
      <c r="N119" s="226">
        <f>E119*COS(RADIANS($C$2)) + G119*SIN(RADIANS($C$2))</f>
        <v>128.77437676152294</v>
      </c>
      <c r="O119" s="226">
        <f>F119</f>
        <v>0</v>
      </c>
      <c r="P119" s="226">
        <f>-E119*SIN(RADIANS($C$2)) + G119*COS(RADIANS($C$2))</f>
        <v>-73.335938595489026</v>
      </c>
      <c r="Q119" s="227">
        <f t="shared" si="24"/>
        <v>-0.51768479212562213</v>
      </c>
      <c r="R119" s="227">
        <f t="shared" si="25"/>
        <v>-29.661153706905502</v>
      </c>
      <c r="S119" s="236">
        <f t="shared" si="26"/>
        <v>148.19244245237337</v>
      </c>
      <c r="T119" s="236">
        <f t="shared" si="27"/>
        <v>0</v>
      </c>
      <c r="U119" s="236">
        <f t="shared" si="28"/>
        <v>0</v>
      </c>
      <c r="V119" s="237">
        <f t="shared" si="29"/>
        <v>132.19244245237337</v>
      </c>
      <c r="W119" s="237">
        <f t="shared" si="30"/>
        <v>0</v>
      </c>
      <c r="X119" s="235">
        <f t="shared" si="31"/>
        <v>0</v>
      </c>
      <c r="Y119" s="235">
        <f t="shared" si="32"/>
        <v>0</v>
      </c>
      <c r="Z119" s="235">
        <f t="shared" si="33"/>
        <v>132.19244245237337</v>
      </c>
      <c r="AA119" s="238" t="str">
        <f t="shared" si="34"/>
        <v>TRUE</v>
      </c>
      <c r="AB119" s="235">
        <f t="shared" si="35"/>
        <v>6724</v>
      </c>
      <c r="AC119" s="235">
        <f t="shared" si="36"/>
        <v>15129</v>
      </c>
      <c r="AD119" s="236">
        <f t="shared" si="37"/>
        <v>17474.841841524045</v>
      </c>
      <c r="AE119" s="235">
        <f t="shared" si="38"/>
        <v>1.1391583379575523</v>
      </c>
      <c r="AF119" s="235">
        <f t="shared" si="39"/>
        <v>65.26896496210523</v>
      </c>
      <c r="AG119" s="236">
        <f t="shared" si="40"/>
        <v>1.352013779870562</v>
      </c>
      <c r="AH119" s="235">
        <f t="shared" si="41"/>
        <v>77.464683430112743</v>
      </c>
    </row>
    <row r="120" spans="5:34" x14ac:dyDescent="0.25">
      <c r="E120" s="222">
        <v>35</v>
      </c>
      <c r="F120" s="223">
        <v>0</v>
      </c>
      <c r="G120" s="224">
        <v>143</v>
      </c>
      <c r="H120" s="232">
        <f>R120</f>
        <v>-29.753070586523044</v>
      </c>
      <c r="I120" s="232">
        <f>$C$3 - AF120 - Y120</f>
        <v>-65.822497162364257</v>
      </c>
      <c r="J120" s="232">
        <f>AH120-$C$4</f>
        <v>3.7189522886695698</v>
      </c>
      <c r="K120" s="68">
        <f t="shared" si="21"/>
        <v>-29.753070586523044</v>
      </c>
      <c r="L120" s="68">
        <f t="shared" si="22"/>
        <v>-40</v>
      </c>
      <c r="M120" s="68">
        <f t="shared" si="23"/>
        <v>3.7189522886695698</v>
      </c>
      <c r="N120" s="226">
        <f>E120*COS(RADIANS($C$2)) + G120*SIN(RADIANS($C$2))</f>
        <v>127.81311506558463</v>
      </c>
      <c r="O120" s="226">
        <f>F120</f>
        <v>0</v>
      </c>
      <c r="P120" s="226">
        <f>-E120*SIN(RADIANS($C$2)) + G120*COS(RADIANS($C$2))</f>
        <v>-73.060301239672029</v>
      </c>
      <c r="Q120" s="227">
        <f t="shared" si="24"/>
        <v>-0.51928904431310752</v>
      </c>
      <c r="R120" s="227">
        <f t="shared" si="25"/>
        <v>-29.753070586523044</v>
      </c>
      <c r="S120" s="236">
        <f t="shared" si="26"/>
        <v>147.220922426128</v>
      </c>
      <c r="T120" s="236">
        <f t="shared" si="27"/>
        <v>0</v>
      </c>
      <c r="U120" s="236">
        <f t="shared" si="28"/>
        <v>0</v>
      </c>
      <c r="V120" s="237">
        <f t="shared" si="29"/>
        <v>131.220922426128</v>
      </c>
      <c r="W120" s="237">
        <f t="shared" si="30"/>
        <v>0</v>
      </c>
      <c r="X120" s="235">
        <f t="shared" si="31"/>
        <v>0</v>
      </c>
      <c r="Y120" s="235">
        <f t="shared" si="32"/>
        <v>0</v>
      </c>
      <c r="Z120" s="235">
        <f t="shared" si="33"/>
        <v>131.220922426128</v>
      </c>
      <c r="AA120" s="238" t="str">
        <f t="shared" si="34"/>
        <v>TRUE</v>
      </c>
      <c r="AB120" s="235">
        <f t="shared" si="35"/>
        <v>6724</v>
      </c>
      <c r="AC120" s="235">
        <f t="shared" si="36"/>
        <v>15129</v>
      </c>
      <c r="AD120" s="236">
        <f t="shared" si="37"/>
        <v>17218.930482363903</v>
      </c>
      <c r="AE120" s="235">
        <f t="shared" si="38"/>
        <v>1.1488192973678808</v>
      </c>
      <c r="AF120" s="235">
        <f t="shared" si="39"/>
        <v>65.822497162364257</v>
      </c>
      <c r="AG120" s="236">
        <f t="shared" si="40"/>
        <v>1.3389983161177232</v>
      </c>
      <c r="AH120" s="235">
        <f t="shared" si="41"/>
        <v>76.71895228866957</v>
      </c>
    </row>
    <row r="121" spans="5:34" x14ac:dyDescent="0.25">
      <c r="E121" s="222">
        <v>35</v>
      </c>
      <c r="F121" s="223">
        <v>0</v>
      </c>
      <c r="G121" s="224">
        <v>142</v>
      </c>
      <c r="H121" s="232">
        <f>R121</f>
        <v>-29.84620841182652</v>
      </c>
      <c r="I121" s="232">
        <f>$C$3 - AF121 - Y121</f>
        <v>-66.376097692175946</v>
      </c>
      <c r="J121" s="232">
        <f>AH121-$C$4</f>
        <v>2.9767422235914438</v>
      </c>
      <c r="K121" s="68">
        <f t="shared" si="21"/>
        <v>-29.84620841182652</v>
      </c>
      <c r="L121" s="68">
        <f t="shared" si="22"/>
        <v>-40</v>
      </c>
      <c r="M121" s="68">
        <f t="shared" si="23"/>
        <v>2.9767422235914438</v>
      </c>
      <c r="N121" s="226">
        <f>E121*COS(RADIANS($C$2)) + G121*SIN(RADIANS($C$2))</f>
        <v>126.85185336964632</v>
      </c>
      <c r="O121" s="226">
        <f>F121</f>
        <v>0</v>
      </c>
      <c r="P121" s="226">
        <f>-E121*SIN(RADIANS($C$2)) + G121*COS(RADIANS($C$2))</f>
        <v>-72.784663883855018</v>
      </c>
      <c r="Q121" s="227">
        <f t="shared" si="24"/>
        <v>-0.52091460602280049</v>
      </c>
      <c r="R121" s="227">
        <f t="shared" si="25"/>
        <v>-29.84620841182652</v>
      </c>
      <c r="S121" s="236">
        <f t="shared" si="26"/>
        <v>146.24978632463024</v>
      </c>
      <c r="T121" s="236">
        <f t="shared" si="27"/>
        <v>0</v>
      </c>
      <c r="U121" s="236">
        <f t="shared" si="28"/>
        <v>0</v>
      </c>
      <c r="V121" s="237">
        <f t="shared" si="29"/>
        <v>130.24978632463024</v>
      </c>
      <c r="W121" s="237">
        <f t="shared" si="30"/>
        <v>0</v>
      </c>
      <c r="X121" s="235">
        <f t="shared" si="31"/>
        <v>0</v>
      </c>
      <c r="Y121" s="235">
        <f t="shared" si="32"/>
        <v>0</v>
      </c>
      <c r="Z121" s="235">
        <f t="shared" si="33"/>
        <v>130.24978632463024</v>
      </c>
      <c r="AA121" s="238" t="str">
        <f t="shared" si="34"/>
        <v>TRUE</v>
      </c>
      <c r="AB121" s="235">
        <f t="shared" si="35"/>
        <v>6724</v>
      </c>
      <c r="AC121" s="235">
        <f t="shared" si="36"/>
        <v>15129</v>
      </c>
      <c r="AD121" s="236">
        <f t="shared" si="37"/>
        <v>16965.006837611832</v>
      </c>
      <c r="AE121" s="235">
        <f t="shared" si="38"/>
        <v>1.15848144935388</v>
      </c>
      <c r="AF121" s="235">
        <f t="shared" si="39"/>
        <v>66.376097692175946</v>
      </c>
      <c r="AG121" s="236">
        <f t="shared" si="40"/>
        <v>1.3260443067406684</v>
      </c>
      <c r="AH121" s="235">
        <f t="shared" si="41"/>
        <v>75.976742223591444</v>
      </c>
    </row>
    <row r="122" spans="5:34" x14ac:dyDescent="0.25">
      <c r="E122" s="222">
        <v>35</v>
      </c>
      <c r="F122" s="223">
        <v>0</v>
      </c>
      <c r="G122" s="224">
        <v>141</v>
      </c>
      <c r="H122" s="232">
        <f>R122</f>
        <v>-29.940591170289999</v>
      </c>
      <c r="I122" s="232">
        <f>$C$3 - AF122 - Y122</f>
        <v>-66.929869494439203</v>
      </c>
      <c r="J122" s="232">
        <f>AH122-$C$4</f>
        <v>2.2379607470498826</v>
      </c>
      <c r="K122" s="68">
        <f t="shared" si="21"/>
        <v>-29.940591170289999</v>
      </c>
      <c r="L122" s="68">
        <f t="shared" si="22"/>
        <v>-40</v>
      </c>
      <c r="M122" s="68">
        <f t="shared" si="23"/>
        <v>2.2379607470498826</v>
      </c>
      <c r="N122" s="226">
        <f>E122*COS(RADIANS($C$2)) + G122*SIN(RADIANS($C$2))</f>
        <v>125.89059167370802</v>
      </c>
      <c r="O122" s="226">
        <f>F122</f>
        <v>0</v>
      </c>
      <c r="P122" s="226">
        <f>-E122*SIN(RADIANS($C$2)) + G122*COS(RADIANS($C$2))</f>
        <v>-72.509026528038021</v>
      </c>
      <c r="Q122" s="227">
        <f t="shared" si="24"/>
        <v>-0.52256189591510271</v>
      </c>
      <c r="R122" s="227">
        <f t="shared" si="25"/>
        <v>-29.940591170289999</v>
      </c>
      <c r="S122" s="236">
        <f t="shared" si="26"/>
        <v>145.27904184706068</v>
      </c>
      <c r="T122" s="236">
        <f t="shared" si="27"/>
        <v>0</v>
      </c>
      <c r="U122" s="236">
        <f t="shared" si="28"/>
        <v>0</v>
      </c>
      <c r="V122" s="237">
        <f t="shared" si="29"/>
        <v>129.27904184706068</v>
      </c>
      <c r="W122" s="237">
        <f t="shared" si="30"/>
        <v>0</v>
      </c>
      <c r="X122" s="235">
        <f t="shared" si="31"/>
        <v>0</v>
      </c>
      <c r="Y122" s="235">
        <f t="shared" si="32"/>
        <v>0</v>
      </c>
      <c r="Z122" s="235">
        <f t="shared" si="33"/>
        <v>129.27904184706068</v>
      </c>
      <c r="AA122" s="238" t="str">
        <f t="shared" si="34"/>
        <v>TRUE</v>
      </c>
      <c r="AB122" s="235">
        <f t="shared" si="35"/>
        <v>6724</v>
      </c>
      <c r="AC122" s="235">
        <f t="shared" si="36"/>
        <v>15129</v>
      </c>
      <c r="AD122" s="236">
        <f t="shared" si="37"/>
        <v>16713.070660894067</v>
      </c>
      <c r="AE122" s="235">
        <f t="shared" si="38"/>
        <v>1.1681465906080766</v>
      </c>
      <c r="AF122" s="235">
        <f t="shared" si="39"/>
        <v>66.929869494439203</v>
      </c>
      <c r="AG122" s="236">
        <f t="shared" si="40"/>
        <v>1.3131501375222729</v>
      </c>
      <c r="AH122" s="235">
        <f t="shared" si="41"/>
        <v>75.237960747049883</v>
      </c>
    </row>
    <row r="123" spans="5:34" x14ac:dyDescent="0.25">
      <c r="E123" s="222">
        <v>35</v>
      </c>
      <c r="F123" s="223">
        <v>0</v>
      </c>
      <c r="G123" s="224">
        <v>139</v>
      </c>
      <c r="H123" s="232">
        <f>R123</f>
        <v>-30.133190548862917</v>
      </c>
      <c r="I123" s="232">
        <f>$C$3 - AF123 - Y123</f>
        <v>-68.038339056973996</v>
      </c>
      <c r="J123" s="232">
        <f>AH123-$C$4</f>
        <v>0.77032590296776959</v>
      </c>
      <c r="K123" s="68">
        <f t="shared" si="21"/>
        <v>-30.133190548862917</v>
      </c>
      <c r="L123" s="68">
        <f t="shared" si="22"/>
        <v>-40</v>
      </c>
      <c r="M123" s="68">
        <f t="shared" si="23"/>
        <v>0.77032590296776959</v>
      </c>
      <c r="N123" s="226">
        <f>E123*COS(RADIANS($C$2)) + G123*SIN(RADIANS($C$2))</f>
        <v>123.96806828183135</v>
      </c>
      <c r="O123" s="226">
        <f>F123</f>
        <v>0</v>
      </c>
      <c r="P123" s="226">
        <f>-E123*SIN(RADIANS($C$2)) + G123*COS(RADIANS($C$2))</f>
        <v>-71.957751816404027</v>
      </c>
      <c r="Q123" s="227">
        <f t="shared" si="24"/>
        <v>-0.52592338920849513</v>
      </c>
      <c r="R123" s="227">
        <f t="shared" si="25"/>
        <v>-30.133190548862917</v>
      </c>
      <c r="S123" s="236">
        <f t="shared" si="26"/>
        <v>143.33875958721003</v>
      </c>
      <c r="T123" s="236">
        <f t="shared" si="27"/>
        <v>0</v>
      </c>
      <c r="U123" s="236">
        <f t="shared" si="28"/>
        <v>0</v>
      </c>
      <c r="V123" s="237">
        <f t="shared" si="29"/>
        <v>127.33875958721003</v>
      </c>
      <c r="W123" s="237">
        <f t="shared" si="30"/>
        <v>0</v>
      </c>
      <c r="X123" s="235">
        <f t="shared" si="31"/>
        <v>0</v>
      </c>
      <c r="Y123" s="235">
        <f t="shared" si="32"/>
        <v>0</v>
      </c>
      <c r="Z123" s="235">
        <f t="shared" si="33"/>
        <v>127.33875958721003</v>
      </c>
      <c r="AA123" s="238" t="str">
        <f t="shared" si="34"/>
        <v>TRUE</v>
      </c>
      <c r="AB123" s="235">
        <f t="shared" si="35"/>
        <v>6724</v>
      </c>
      <c r="AC123" s="235">
        <f t="shared" si="36"/>
        <v>15129</v>
      </c>
      <c r="AD123" s="236">
        <f t="shared" si="37"/>
        <v>16215.159693209276</v>
      </c>
      <c r="AE123" s="235">
        <f t="shared" si="38"/>
        <v>1.1874930341324499</v>
      </c>
      <c r="AF123" s="235">
        <f t="shared" si="39"/>
        <v>68.038339056973996</v>
      </c>
      <c r="AG123" s="236">
        <f t="shared" si="40"/>
        <v>1.2875350772760465</v>
      </c>
      <c r="AH123" s="235">
        <f t="shared" si="41"/>
        <v>73.77032590296777</v>
      </c>
    </row>
    <row r="124" spans="5:34" x14ac:dyDescent="0.25">
      <c r="E124" s="222">
        <v>35</v>
      </c>
      <c r="F124" s="223">
        <v>0</v>
      </c>
      <c r="G124" s="224">
        <v>138</v>
      </c>
      <c r="H124" s="232">
        <f>R124</f>
        <v>-30.231458315642602</v>
      </c>
      <c r="I124" s="232">
        <f>$C$3 - AF124 - Y124</f>
        <v>-68.593243486681132</v>
      </c>
      <c r="J124" s="232">
        <f>AH124-$C$4</f>
        <v>4.12994601857406E-2</v>
      </c>
      <c r="K124" s="68">
        <f t="shared" si="21"/>
        <v>-30.231458315642602</v>
      </c>
      <c r="L124" s="68">
        <f t="shared" si="22"/>
        <v>-40</v>
      </c>
      <c r="M124" s="68">
        <f t="shared" si="23"/>
        <v>4.12994601857406E-2</v>
      </c>
      <c r="N124" s="226">
        <f>E124*COS(RADIANS($C$2)) + G124*SIN(RADIANS($C$2))</f>
        <v>123.00680658589305</v>
      </c>
      <c r="O124" s="226">
        <f>F124</f>
        <v>0</v>
      </c>
      <c r="P124" s="226">
        <f>-E124*SIN(RADIANS($C$2)) + G124*COS(RADIANS($C$2))</f>
        <v>-71.68211446058703</v>
      </c>
      <c r="Q124" s="227">
        <f t="shared" si="24"/>
        <v>-0.52763848528738255</v>
      </c>
      <c r="R124" s="227">
        <f t="shared" si="25"/>
        <v>-30.231458315642602</v>
      </c>
      <c r="S124" s="236">
        <f t="shared" si="26"/>
        <v>142.36923825040299</v>
      </c>
      <c r="T124" s="236">
        <f t="shared" si="27"/>
        <v>0</v>
      </c>
      <c r="U124" s="236">
        <f t="shared" si="28"/>
        <v>0</v>
      </c>
      <c r="V124" s="237">
        <f t="shared" si="29"/>
        <v>126.36923825040299</v>
      </c>
      <c r="W124" s="237">
        <f t="shared" si="30"/>
        <v>0</v>
      </c>
      <c r="X124" s="235">
        <f t="shared" si="31"/>
        <v>0</v>
      </c>
      <c r="Y124" s="235">
        <f t="shared" si="32"/>
        <v>0</v>
      </c>
      <c r="Z124" s="235">
        <f t="shared" si="33"/>
        <v>126.36923825040299</v>
      </c>
      <c r="AA124" s="238" t="str">
        <f t="shared" si="34"/>
        <v>TRUE</v>
      </c>
      <c r="AB124" s="235">
        <f t="shared" si="35"/>
        <v>6724</v>
      </c>
      <c r="AC124" s="235">
        <f t="shared" si="36"/>
        <v>15129</v>
      </c>
      <c r="AD124" s="236">
        <f t="shared" si="37"/>
        <v>15969.184375987114</v>
      </c>
      <c r="AE124" s="235">
        <f t="shared" si="38"/>
        <v>1.1971779434647409</v>
      </c>
      <c r="AF124" s="235">
        <f t="shared" si="39"/>
        <v>68.593243486681132</v>
      </c>
      <c r="AG124" s="236">
        <f t="shared" si="40"/>
        <v>1.274811165515398</v>
      </c>
      <c r="AH124" s="235">
        <f t="shared" si="41"/>
        <v>73.041299460185741</v>
      </c>
    </row>
    <row r="125" spans="5:34" x14ac:dyDescent="0.25">
      <c r="E125" s="222">
        <v>35</v>
      </c>
      <c r="F125" s="223">
        <v>0</v>
      </c>
      <c r="G125" s="224">
        <v>137</v>
      </c>
      <c r="H125" s="232">
        <f>R125</f>
        <v>-30.331073350285063</v>
      </c>
      <c r="I125" s="232">
        <f>$C$3 - AF125 - Y125</f>
        <v>-69.148732802418635</v>
      </c>
      <c r="J125" s="232">
        <f>AH125-$C$4</f>
        <v>-0.68464479305224302</v>
      </c>
      <c r="K125" s="68">
        <f t="shared" si="21"/>
        <v>-30.331073350285063</v>
      </c>
      <c r="L125" s="68">
        <f t="shared" si="22"/>
        <v>-40</v>
      </c>
      <c r="M125" s="68">
        <f t="shared" si="23"/>
        <v>-0.68464479305224302</v>
      </c>
      <c r="N125" s="226">
        <f>E125*COS(RADIANS($C$2)) + G125*SIN(RADIANS($C$2))</f>
        <v>122.04554488995474</v>
      </c>
      <c r="O125" s="226">
        <f>F125</f>
        <v>0</v>
      </c>
      <c r="P125" s="226">
        <f>-E125*SIN(RADIANS($C$2)) + G125*COS(RADIANS($C$2))</f>
        <v>-71.406477104770033</v>
      </c>
      <c r="Q125" s="227">
        <f t="shared" si="24"/>
        <v>-0.52937709562638169</v>
      </c>
      <c r="R125" s="227">
        <f t="shared" si="25"/>
        <v>-30.331073350285063</v>
      </c>
      <c r="S125" s="236">
        <f t="shared" si="26"/>
        <v>141.40014144264495</v>
      </c>
      <c r="T125" s="236">
        <f t="shared" si="27"/>
        <v>0</v>
      </c>
      <c r="U125" s="236">
        <f t="shared" si="28"/>
        <v>0</v>
      </c>
      <c r="V125" s="237">
        <f t="shared" si="29"/>
        <v>125.40014144264495</v>
      </c>
      <c r="W125" s="237">
        <f t="shared" si="30"/>
        <v>0</v>
      </c>
      <c r="X125" s="235">
        <f t="shared" si="31"/>
        <v>0</v>
      </c>
      <c r="Y125" s="235">
        <f t="shared" si="32"/>
        <v>0</v>
      </c>
      <c r="Z125" s="235">
        <f t="shared" si="33"/>
        <v>125.40014144264495</v>
      </c>
      <c r="AA125" s="238" t="str">
        <f t="shared" si="34"/>
        <v>TRUE</v>
      </c>
      <c r="AB125" s="235">
        <f t="shared" si="35"/>
        <v>6724</v>
      </c>
      <c r="AC125" s="235">
        <f t="shared" si="36"/>
        <v>15129</v>
      </c>
      <c r="AD125" s="236">
        <f t="shared" si="37"/>
        <v>15725.19547383536</v>
      </c>
      <c r="AE125" s="235">
        <f t="shared" si="38"/>
        <v>1.2068730609840108</v>
      </c>
      <c r="AF125" s="235">
        <f t="shared" si="39"/>
        <v>69.148732802418635</v>
      </c>
      <c r="AG125" s="236">
        <f t="shared" si="40"/>
        <v>1.2621410481104638</v>
      </c>
      <c r="AH125" s="235">
        <f t="shared" si="41"/>
        <v>72.315355206947757</v>
      </c>
    </row>
    <row r="126" spans="5:34" x14ac:dyDescent="0.25">
      <c r="E126" s="222">
        <v>35</v>
      </c>
      <c r="F126" s="223">
        <v>0</v>
      </c>
      <c r="G126" s="224">
        <v>136</v>
      </c>
      <c r="H126" s="232">
        <f>R126</f>
        <v>-30.43206293613591</v>
      </c>
      <c r="I126" s="232">
        <f>$C$3 - AF126 - Y126</f>
        <v>-69.704911555777159</v>
      </c>
      <c r="J126" s="232">
        <f>AH126-$C$4</f>
        <v>-1.4075881906827021</v>
      </c>
      <c r="K126" s="68">
        <f t="shared" si="21"/>
        <v>-30.43206293613591</v>
      </c>
      <c r="L126" s="68">
        <f t="shared" si="22"/>
        <v>-40</v>
      </c>
      <c r="M126" s="68">
        <f t="shared" si="23"/>
        <v>-1.4075881906827021</v>
      </c>
      <c r="N126" s="226">
        <f>E126*COS(RADIANS($C$2)) + G126*SIN(RADIANS($C$2))</f>
        <v>121.08428319401641</v>
      </c>
      <c r="O126" s="226">
        <f>F126</f>
        <v>0</v>
      </c>
      <c r="P126" s="226">
        <f>-E126*SIN(RADIANS($C$2)) + G126*COS(RADIANS($C$2))</f>
        <v>-71.130839748953036</v>
      </c>
      <c r="Q126" s="227">
        <f t="shared" si="24"/>
        <v>-0.53113969640970449</v>
      </c>
      <c r="R126" s="227">
        <f t="shared" si="25"/>
        <v>-30.43206293613591</v>
      </c>
      <c r="S126" s="236">
        <f t="shared" si="26"/>
        <v>140.43147795277241</v>
      </c>
      <c r="T126" s="236">
        <f t="shared" si="27"/>
        <v>0</v>
      </c>
      <c r="U126" s="236">
        <f t="shared" si="28"/>
        <v>0</v>
      </c>
      <c r="V126" s="237">
        <f t="shared" si="29"/>
        <v>124.43147795277241</v>
      </c>
      <c r="W126" s="237">
        <f t="shared" si="30"/>
        <v>0</v>
      </c>
      <c r="X126" s="235">
        <f t="shared" si="31"/>
        <v>0</v>
      </c>
      <c r="Y126" s="235">
        <f t="shared" si="32"/>
        <v>0</v>
      </c>
      <c r="Z126" s="235">
        <f t="shared" si="33"/>
        <v>124.43147795277241</v>
      </c>
      <c r="AA126" s="238" t="str">
        <f t="shared" si="34"/>
        <v>TRUE</v>
      </c>
      <c r="AB126" s="235">
        <f t="shared" si="35"/>
        <v>6724</v>
      </c>
      <c r="AC126" s="235">
        <f t="shared" si="36"/>
        <v>15129</v>
      </c>
      <c r="AD126" s="236">
        <f t="shared" si="37"/>
        <v>15483.192705511286</v>
      </c>
      <c r="AE126" s="235">
        <f t="shared" si="38"/>
        <v>1.2165802114597544</v>
      </c>
      <c r="AF126" s="235">
        <f t="shared" si="39"/>
        <v>69.704911555777159</v>
      </c>
      <c r="AG126" s="236">
        <f t="shared" si="40"/>
        <v>1.2495233055162576</v>
      </c>
      <c r="AH126" s="235">
        <f t="shared" si="41"/>
        <v>71.592411809317298</v>
      </c>
    </row>
    <row r="127" spans="5:34" x14ac:dyDescent="0.25">
      <c r="E127" s="222">
        <v>35</v>
      </c>
      <c r="F127" s="223">
        <v>0</v>
      </c>
      <c r="G127" s="224">
        <v>134</v>
      </c>
      <c r="H127" s="232">
        <f>R127</f>
        <v>-30.638278538373687</v>
      </c>
      <c r="I127" s="232">
        <f>$C$3 - AF127 - Y127</f>
        <v>-70.819759390543751</v>
      </c>
      <c r="J127" s="232">
        <f>AH127-$C$4</f>
        <v>-2.8447884783237782</v>
      </c>
      <c r="K127" s="68">
        <f t="shared" si="21"/>
        <v>-30.638278538373687</v>
      </c>
      <c r="L127" s="68">
        <f t="shared" si="22"/>
        <v>-40</v>
      </c>
      <c r="M127" s="68">
        <f t="shared" si="23"/>
        <v>-2.8447884783237782</v>
      </c>
      <c r="N127" s="226">
        <f>E127*COS(RADIANS($C$2)) + G127*SIN(RADIANS($C$2))</f>
        <v>119.16175980213977</v>
      </c>
      <c r="O127" s="226">
        <f>F127</f>
        <v>0</v>
      </c>
      <c r="P127" s="226">
        <f>-E127*SIN(RADIANS($C$2)) + G127*COS(RADIANS($C$2))</f>
        <v>-70.579565037319043</v>
      </c>
      <c r="Q127" s="227">
        <f t="shared" si="24"/>
        <v>-0.53473883763773666</v>
      </c>
      <c r="R127" s="227">
        <f t="shared" si="25"/>
        <v>-30.638278538373687</v>
      </c>
      <c r="S127" s="236">
        <f t="shared" si="26"/>
        <v>138.49548729110276</v>
      </c>
      <c r="T127" s="236">
        <f t="shared" si="27"/>
        <v>0</v>
      </c>
      <c r="U127" s="236">
        <f t="shared" si="28"/>
        <v>0</v>
      </c>
      <c r="V127" s="237">
        <f t="shared" si="29"/>
        <v>122.49548729110276</v>
      </c>
      <c r="W127" s="237">
        <f t="shared" si="30"/>
        <v>0</v>
      </c>
      <c r="X127" s="235">
        <f t="shared" si="31"/>
        <v>0</v>
      </c>
      <c r="Y127" s="235">
        <f t="shared" si="32"/>
        <v>0</v>
      </c>
      <c r="Z127" s="235">
        <f t="shared" si="33"/>
        <v>122.49548729110276</v>
      </c>
      <c r="AA127" s="238" t="str">
        <f t="shared" si="34"/>
        <v>TRUE</v>
      </c>
      <c r="AB127" s="235">
        <f t="shared" si="35"/>
        <v>6724</v>
      </c>
      <c r="AC127" s="235">
        <f t="shared" si="36"/>
        <v>15129</v>
      </c>
      <c r="AD127" s="236">
        <f t="shared" si="37"/>
        <v>15005.144406684718</v>
      </c>
      <c r="AE127" s="235">
        <f t="shared" si="38"/>
        <v>1.2360379768351613</v>
      </c>
      <c r="AF127" s="235">
        <f t="shared" si="39"/>
        <v>70.819759390543751</v>
      </c>
      <c r="AG127" s="236">
        <f t="shared" si="40"/>
        <v>1.2244394284863114</v>
      </c>
      <c r="AH127" s="235">
        <f t="shared" si="41"/>
        <v>70.155211521676222</v>
      </c>
    </row>
    <row r="128" spans="5:34" x14ac:dyDescent="0.25">
      <c r="E128" s="222">
        <v>35</v>
      </c>
      <c r="F128" s="223">
        <v>0</v>
      </c>
      <c r="G128" s="224">
        <v>133</v>
      </c>
      <c r="H128" s="232">
        <f>R128</f>
        <v>-30.743562836470733</v>
      </c>
      <c r="I128" s="232">
        <f>$C$3 - AF128 - Y128</f>
        <v>-71.378641800874504</v>
      </c>
      <c r="J128" s="232">
        <f>AH128-$C$4</f>
        <v>-3.5591990751104134</v>
      </c>
      <c r="K128" s="68">
        <f t="shared" si="21"/>
        <v>-30.743562836470733</v>
      </c>
      <c r="L128" s="68">
        <f t="shared" si="22"/>
        <v>-40</v>
      </c>
      <c r="M128" s="68">
        <f t="shared" si="23"/>
        <v>-3.5591990751104134</v>
      </c>
      <c r="N128" s="226">
        <f>E128*COS(RADIANS($C$2)) + G128*SIN(RADIANS($C$2))</f>
        <v>118.20049810620145</v>
      </c>
      <c r="O128" s="226">
        <f>F128</f>
        <v>0</v>
      </c>
      <c r="P128" s="226">
        <f>-E128*SIN(RADIANS($C$2)) + G128*COS(RADIANS($C$2))</f>
        <v>-70.303927681502046</v>
      </c>
      <c r="Q128" s="227">
        <f t="shared" si="24"/>
        <v>-0.53657639529018131</v>
      </c>
      <c r="R128" s="227">
        <f t="shared" si="25"/>
        <v>-30.743562836470733</v>
      </c>
      <c r="S128" s="236">
        <f t="shared" si="26"/>
        <v>137.52817893071952</v>
      </c>
      <c r="T128" s="236">
        <f t="shared" si="27"/>
        <v>0</v>
      </c>
      <c r="U128" s="236">
        <f t="shared" si="28"/>
        <v>0</v>
      </c>
      <c r="V128" s="237">
        <f t="shared" si="29"/>
        <v>121.52817893071952</v>
      </c>
      <c r="W128" s="237">
        <f t="shared" si="30"/>
        <v>0</v>
      </c>
      <c r="X128" s="235">
        <f t="shared" si="31"/>
        <v>0</v>
      </c>
      <c r="Y128" s="235">
        <f t="shared" si="32"/>
        <v>0</v>
      </c>
      <c r="Z128" s="235">
        <f t="shared" si="33"/>
        <v>121.52817893071952</v>
      </c>
      <c r="AA128" s="238" t="str">
        <f t="shared" si="34"/>
        <v>TRUE</v>
      </c>
      <c r="AB128" s="235">
        <f t="shared" si="35"/>
        <v>6724</v>
      </c>
      <c r="AC128" s="235">
        <f t="shared" si="36"/>
        <v>15129</v>
      </c>
      <c r="AD128" s="236">
        <f t="shared" si="37"/>
        <v>14769.09827421698</v>
      </c>
      <c r="AE128" s="235">
        <f t="shared" si="38"/>
        <v>1.2457923150269148</v>
      </c>
      <c r="AF128" s="235">
        <f t="shared" si="39"/>
        <v>71.378641800874504</v>
      </c>
      <c r="AG128" s="236">
        <f t="shared" si="40"/>
        <v>1.211970611361247</v>
      </c>
      <c r="AH128" s="235">
        <f t="shared" si="41"/>
        <v>69.440800924889587</v>
      </c>
    </row>
    <row r="129" spans="5:34" x14ac:dyDescent="0.25">
      <c r="E129" s="222">
        <v>35</v>
      </c>
      <c r="F129" s="223">
        <v>0</v>
      </c>
      <c r="G129" s="224">
        <v>131</v>
      </c>
      <c r="H129" s="232">
        <f>R129</f>
        <v>-30.958636073720864</v>
      </c>
      <c r="I129" s="232">
        <f>$C$3 - AF129 - Y129</f>
        <v>-72.499865375655091</v>
      </c>
      <c r="J129" s="232">
        <f>AH129-$C$4</f>
        <v>-4.98001352257387</v>
      </c>
      <c r="K129" s="68">
        <f t="shared" si="21"/>
        <v>-30.958636073720864</v>
      </c>
      <c r="L129" s="68">
        <f t="shared" si="22"/>
        <v>-40</v>
      </c>
      <c r="M129" s="68">
        <f t="shared" si="23"/>
        <v>-4.98001352257387</v>
      </c>
      <c r="N129" s="226">
        <f>E129*COS(RADIANS($C$2)) + G129*SIN(RADIANS($C$2))</f>
        <v>116.27797471432481</v>
      </c>
      <c r="O129" s="226">
        <f>F129</f>
        <v>0</v>
      </c>
      <c r="P129" s="226">
        <f>-E129*SIN(RADIANS($C$2)) + G129*COS(RADIANS($C$2))</f>
        <v>-69.752652969868038</v>
      </c>
      <c r="Q129" s="227">
        <f t="shared" si="24"/>
        <v>-0.54033013141311903</v>
      </c>
      <c r="R129" s="227">
        <f t="shared" si="25"/>
        <v>-30.958636073720864</v>
      </c>
      <c r="S129" s="236">
        <f t="shared" si="26"/>
        <v>135.59498515800649</v>
      </c>
      <c r="T129" s="236">
        <f t="shared" si="27"/>
        <v>0</v>
      </c>
      <c r="U129" s="236">
        <f t="shared" si="28"/>
        <v>0</v>
      </c>
      <c r="V129" s="237">
        <f t="shared" si="29"/>
        <v>119.59498515800649</v>
      </c>
      <c r="W129" s="237">
        <f t="shared" si="30"/>
        <v>0</v>
      </c>
      <c r="X129" s="235">
        <f t="shared" si="31"/>
        <v>0</v>
      </c>
      <c r="Y129" s="235">
        <f t="shared" si="32"/>
        <v>0</v>
      </c>
      <c r="Z129" s="235">
        <f t="shared" si="33"/>
        <v>119.59498515800649</v>
      </c>
      <c r="AA129" s="238" t="str">
        <f t="shared" si="34"/>
        <v>TRUE</v>
      </c>
      <c r="AB129" s="235">
        <f t="shared" si="35"/>
        <v>6724</v>
      </c>
      <c r="AC129" s="235">
        <f t="shared" si="36"/>
        <v>15129</v>
      </c>
      <c r="AD129" s="236">
        <f t="shared" si="37"/>
        <v>14302.960474943793</v>
      </c>
      <c r="AE129" s="235">
        <f t="shared" si="38"/>
        <v>1.2653613580578169</v>
      </c>
      <c r="AF129" s="235">
        <f t="shared" si="39"/>
        <v>72.499865375655091</v>
      </c>
      <c r="AG129" s="236">
        <f t="shared" si="40"/>
        <v>1.1871727211931056</v>
      </c>
      <c r="AH129" s="235">
        <f t="shared" si="41"/>
        <v>68.01998647742613</v>
      </c>
    </row>
    <row r="130" spans="5:34" x14ac:dyDescent="0.25">
      <c r="E130" s="222">
        <v>34</v>
      </c>
      <c r="F130" s="223">
        <v>0</v>
      </c>
      <c r="G130" s="224">
        <v>130</v>
      </c>
      <c r="H130" s="232">
        <f>R130</f>
        <v>-30.656751115760422</v>
      </c>
      <c r="I130" s="232">
        <f>$C$3 - AF130 - Y130</f>
        <v>-73.212114236673756</v>
      </c>
      <c r="J130" s="232">
        <f>AH130-$C$4</f>
        <v>-5.8738412952117898</v>
      </c>
      <c r="K130" s="68">
        <f t="shared" si="21"/>
        <v>-30.656751115760422</v>
      </c>
      <c r="L130" s="68">
        <f t="shared" si="22"/>
        <v>-40</v>
      </c>
      <c r="M130" s="68">
        <f t="shared" si="23"/>
        <v>-5.8738412952117898</v>
      </c>
      <c r="N130" s="226">
        <f>E130*COS(RADIANS($C$2)) + G130*SIN(RADIANS($C$2))</f>
        <v>115.59235037420349</v>
      </c>
      <c r="O130" s="226">
        <f>F130</f>
        <v>0</v>
      </c>
      <c r="P130" s="226">
        <f>-E130*SIN(RADIANS($C$2)) + G130*COS(RADIANS($C$2))</f>
        <v>-68.515753918112722</v>
      </c>
      <c r="Q130" s="227">
        <f t="shared" si="24"/>
        <v>-0.53506124493446461</v>
      </c>
      <c r="R130" s="227">
        <f t="shared" si="25"/>
        <v>-30.656751115760422</v>
      </c>
      <c r="S130" s="236">
        <f t="shared" si="26"/>
        <v>134.37261625792661</v>
      </c>
      <c r="T130" s="236">
        <f t="shared" si="27"/>
        <v>0</v>
      </c>
      <c r="U130" s="236">
        <f t="shared" si="28"/>
        <v>0</v>
      </c>
      <c r="V130" s="237">
        <f t="shared" si="29"/>
        <v>118.37261625792661</v>
      </c>
      <c r="W130" s="237">
        <f t="shared" si="30"/>
        <v>0</v>
      </c>
      <c r="X130" s="235">
        <f t="shared" si="31"/>
        <v>0</v>
      </c>
      <c r="Y130" s="235">
        <f t="shared" si="32"/>
        <v>0</v>
      </c>
      <c r="Z130" s="235">
        <f t="shared" si="33"/>
        <v>118.37261625792661</v>
      </c>
      <c r="AA130" s="238" t="str">
        <f t="shared" si="34"/>
        <v>TRUE</v>
      </c>
      <c r="AB130" s="235">
        <f t="shared" si="35"/>
        <v>6724</v>
      </c>
      <c r="AC130" s="235">
        <f t="shared" si="36"/>
        <v>15129</v>
      </c>
      <c r="AD130" s="236">
        <f t="shared" si="37"/>
        <v>14012.07627974635</v>
      </c>
      <c r="AE130" s="235">
        <f t="shared" si="38"/>
        <v>1.277792445776172</v>
      </c>
      <c r="AF130" s="235">
        <f t="shared" si="39"/>
        <v>73.212114236673756</v>
      </c>
      <c r="AG130" s="236">
        <f t="shared" si="40"/>
        <v>1.1715724836148067</v>
      </c>
      <c r="AH130" s="235">
        <f t="shared" si="41"/>
        <v>67.12615870478821</v>
      </c>
    </row>
    <row r="131" spans="5:34" x14ac:dyDescent="0.25">
      <c r="E131" s="222">
        <v>34</v>
      </c>
      <c r="F131" s="223">
        <v>0</v>
      </c>
      <c r="G131" s="224">
        <v>128</v>
      </c>
      <c r="H131" s="232">
        <f>R131</f>
        <v>-30.875682001638793</v>
      </c>
      <c r="I131" s="232">
        <f>$C$3 - AF131 - Y131</f>
        <v>-74.344898691398768</v>
      </c>
      <c r="J131" s="232">
        <f>AH131-$C$4</f>
        <v>-7.2812079485231322</v>
      </c>
      <c r="K131" s="68">
        <f t="shared" si="21"/>
        <v>-30.875682001638793</v>
      </c>
      <c r="L131" s="68">
        <f t="shared" si="22"/>
        <v>-40</v>
      </c>
      <c r="M131" s="68">
        <f t="shared" si="23"/>
        <v>-7.2812079485231322</v>
      </c>
      <c r="N131" s="226">
        <f>E131*COS(RADIANS($C$2)) + G131*SIN(RADIANS($C$2))</f>
        <v>113.66982698232685</v>
      </c>
      <c r="O131" s="226">
        <f>F131</f>
        <v>0</v>
      </c>
      <c r="P131" s="226">
        <f>-E131*SIN(RADIANS($C$2)) + G131*COS(RADIANS($C$2))</f>
        <v>-67.964479206478728</v>
      </c>
      <c r="Q131" s="227">
        <f t="shared" si="24"/>
        <v>-0.53888230972735018</v>
      </c>
      <c r="R131" s="227">
        <f t="shared" si="25"/>
        <v>-30.875682001638793</v>
      </c>
      <c r="S131" s="236">
        <f t="shared" si="26"/>
        <v>132.43866504914644</v>
      </c>
      <c r="T131" s="236">
        <f t="shared" si="27"/>
        <v>0</v>
      </c>
      <c r="U131" s="236">
        <f t="shared" si="28"/>
        <v>0</v>
      </c>
      <c r="V131" s="237">
        <f t="shared" si="29"/>
        <v>116.43866504914644</v>
      </c>
      <c r="W131" s="237">
        <f t="shared" si="30"/>
        <v>0</v>
      </c>
      <c r="X131" s="235">
        <f t="shared" si="31"/>
        <v>0</v>
      </c>
      <c r="Y131" s="235">
        <f t="shared" si="32"/>
        <v>0</v>
      </c>
      <c r="Z131" s="235">
        <f t="shared" si="33"/>
        <v>116.43866504914644</v>
      </c>
      <c r="AA131" s="238" t="str">
        <f t="shared" si="34"/>
        <v>TRUE</v>
      </c>
      <c r="AB131" s="235">
        <f t="shared" si="35"/>
        <v>6724</v>
      </c>
      <c r="AC131" s="235">
        <f t="shared" si="36"/>
        <v>15129</v>
      </c>
      <c r="AD131" s="236">
        <f t="shared" si="37"/>
        <v>13557.962718427316</v>
      </c>
      <c r="AE131" s="235">
        <f t="shared" si="38"/>
        <v>1.2975632642265322</v>
      </c>
      <c r="AF131" s="235">
        <f t="shared" si="39"/>
        <v>74.344898691398768</v>
      </c>
      <c r="AG131" s="236">
        <f t="shared" si="40"/>
        <v>1.14700930173175</v>
      </c>
      <c r="AH131" s="235">
        <f t="shared" si="41"/>
        <v>65.718792051476868</v>
      </c>
    </row>
    <row r="132" spans="5:34" x14ac:dyDescent="0.25">
      <c r="E132" s="222">
        <v>34</v>
      </c>
      <c r="F132" s="223">
        <v>0</v>
      </c>
      <c r="G132" s="224">
        <v>127</v>
      </c>
      <c r="H132" s="232">
        <f>R132</f>
        <v>-30.98756197105681</v>
      </c>
      <c r="I132" s="232">
        <f>$C$3 - AF132 - Y132</f>
        <v>-74.913839130433928</v>
      </c>
      <c r="J132" s="232">
        <f>AH132-$C$4</f>
        <v>-7.9813923951528807</v>
      </c>
      <c r="K132" s="68">
        <f t="shared" si="21"/>
        <v>-30.98756197105681</v>
      </c>
      <c r="L132" s="68">
        <f t="shared" si="22"/>
        <v>-40</v>
      </c>
      <c r="M132" s="68">
        <f t="shared" si="23"/>
        <v>-7.9813923951528807</v>
      </c>
      <c r="N132" s="226">
        <f>E132*COS(RADIANS($C$2)) + G132*SIN(RADIANS($C$2))</f>
        <v>112.70856528638853</v>
      </c>
      <c r="O132" s="226">
        <f>F132</f>
        <v>0</v>
      </c>
      <c r="P132" s="226">
        <f>-E132*SIN(RADIANS($C$2)) + G132*COS(RADIANS($C$2))</f>
        <v>-67.688841850661731</v>
      </c>
      <c r="Q132" s="227">
        <f t="shared" si="24"/>
        <v>-0.54083498356072512</v>
      </c>
      <c r="R132" s="227">
        <f t="shared" si="25"/>
        <v>-30.98756197105681</v>
      </c>
      <c r="S132" s="236">
        <f t="shared" si="26"/>
        <v>131.47243057006287</v>
      </c>
      <c r="T132" s="236">
        <f t="shared" si="27"/>
        <v>0</v>
      </c>
      <c r="U132" s="236">
        <f t="shared" si="28"/>
        <v>0</v>
      </c>
      <c r="V132" s="237">
        <f t="shared" si="29"/>
        <v>115.47243057006287</v>
      </c>
      <c r="W132" s="237">
        <f t="shared" si="30"/>
        <v>0</v>
      </c>
      <c r="X132" s="235">
        <f t="shared" si="31"/>
        <v>0</v>
      </c>
      <c r="Y132" s="235">
        <f t="shared" si="32"/>
        <v>0</v>
      </c>
      <c r="Z132" s="235">
        <f t="shared" si="33"/>
        <v>115.47243057006287</v>
      </c>
      <c r="AA132" s="238" t="str">
        <f t="shared" si="34"/>
        <v>TRUE</v>
      </c>
      <c r="AB132" s="235">
        <f t="shared" si="35"/>
        <v>6724</v>
      </c>
      <c r="AC132" s="235">
        <f t="shared" si="36"/>
        <v>15129</v>
      </c>
      <c r="AD132" s="236">
        <f t="shared" si="37"/>
        <v>13333.882221757989</v>
      </c>
      <c r="AE132" s="235">
        <f t="shared" si="38"/>
        <v>1.3074931481354377</v>
      </c>
      <c r="AF132" s="235">
        <f t="shared" si="39"/>
        <v>74.913839130433928</v>
      </c>
      <c r="AG132" s="236">
        <f t="shared" si="40"/>
        <v>1.1347887777668064</v>
      </c>
      <c r="AH132" s="235">
        <f t="shared" si="41"/>
        <v>65.018607604847119</v>
      </c>
    </row>
    <row r="133" spans="5:34" x14ac:dyDescent="0.25">
      <c r="E133" s="222">
        <v>34</v>
      </c>
      <c r="F133" s="223">
        <v>0</v>
      </c>
      <c r="G133" s="224">
        <v>126</v>
      </c>
      <c r="H133" s="232">
        <f>R133</f>
        <v>-31.10109816138543</v>
      </c>
      <c r="I133" s="232">
        <f>$C$3 - AF133 - Y133</f>
        <v>-75.484638138723469</v>
      </c>
      <c r="J133" s="232">
        <f>AH133-$C$4</f>
        <v>-8.6793344880027661</v>
      </c>
      <c r="K133" s="68">
        <f t="shared" si="21"/>
        <v>-31.10109816138543</v>
      </c>
      <c r="L133" s="68">
        <f t="shared" si="22"/>
        <v>-40</v>
      </c>
      <c r="M133" s="68">
        <f t="shared" si="23"/>
        <v>-8.6793344880027661</v>
      </c>
      <c r="N133" s="226">
        <f>E133*COS(RADIANS($C$2)) + G133*SIN(RADIANS($C$2))</f>
        <v>111.74730359045022</v>
      </c>
      <c r="O133" s="226">
        <f>F133</f>
        <v>0</v>
      </c>
      <c r="P133" s="226">
        <f>-E133*SIN(RADIANS($C$2)) + G133*COS(RADIANS($C$2))</f>
        <v>-67.41320449484472</v>
      </c>
      <c r="Q133" s="227">
        <f t="shared" si="24"/>
        <v>-0.54281656390213051</v>
      </c>
      <c r="R133" s="227">
        <f t="shared" si="25"/>
        <v>-31.10109816138543</v>
      </c>
      <c r="S133" s="236">
        <f t="shared" si="26"/>
        <v>130.50670480860362</v>
      </c>
      <c r="T133" s="236">
        <f t="shared" si="27"/>
        <v>0</v>
      </c>
      <c r="U133" s="236">
        <f t="shared" si="28"/>
        <v>0</v>
      </c>
      <c r="V133" s="237">
        <f t="shared" si="29"/>
        <v>114.50670480860362</v>
      </c>
      <c r="W133" s="237">
        <f t="shared" si="30"/>
        <v>0</v>
      </c>
      <c r="X133" s="235">
        <f t="shared" si="31"/>
        <v>0</v>
      </c>
      <c r="Y133" s="235">
        <f t="shared" si="32"/>
        <v>0</v>
      </c>
      <c r="Z133" s="235">
        <f t="shared" si="33"/>
        <v>114.50670480860362</v>
      </c>
      <c r="AA133" s="238" t="str">
        <f t="shared" si="34"/>
        <v>TRUE</v>
      </c>
      <c r="AB133" s="235">
        <f t="shared" si="35"/>
        <v>6724</v>
      </c>
      <c r="AC133" s="235">
        <f t="shared" si="36"/>
        <v>15129</v>
      </c>
      <c r="AD133" s="236">
        <f t="shared" si="37"/>
        <v>13111.785446124686</v>
      </c>
      <c r="AE133" s="235">
        <f t="shared" si="38"/>
        <v>1.3174554701972088</v>
      </c>
      <c r="AF133" s="235">
        <f t="shared" si="39"/>
        <v>75.484638138723469</v>
      </c>
      <c r="AG133" s="236">
        <f t="shared" si="40"/>
        <v>1.122607390258316</v>
      </c>
      <c r="AH133" s="235">
        <f t="shared" si="41"/>
        <v>64.320665511997234</v>
      </c>
    </row>
    <row r="134" spans="5:34" x14ac:dyDescent="0.25">
      <c r="E134" s="222">
        <v>34</v>
      </c>
      <c r="F134" s="223">
        <v>0</v>
      </c>
      <c r="G134" s="224">
        <v>125</v>
      </c>
      <c r="H134" s="232">
        <f>R134</f>
        <v>-31.216326712022973</v>
      </c>
      <c r="I134" s="232">
        <f>$C$3 - AF134 - Y134</f>
        <v>-76.05741842868737</v>
      </c>
      <c r="J134" s="232">
        <f>AH134-$C$4</f>
        <v>-9.3751007346955788</v>
      </c>
      <c r="K134" s="68">
        <f t="shared" si="21"/>
        <v>-31.216326712022973</v>
      </c>
      <c r="L134" s="68">
        <f t="shared" si="22"/>
        <v>-40</v>
      </c>
      <c r="M134" s="68">
        <f t="shared" si="23"/>
        <v>-9.3751007346955788</v>
      </c>
      <c r="N134" s="226">
        <f>E134*COS(RADIANS($C$2)) + G134*SIN(RADIANS($C$2))</f>
        <v>110.7860418945119</v>
      </c>
      <c r="O134" s="226">
        <f>F134</f>
        <v>0</v>
      </c>
      <c r="P134" s="226">
        <f>-E134*SIN(RADIANS($C$2)) + G134*COS(RADIANS($C$2))</f>
        <v>-67.137567139027723</v>
      </c>
      <c r="Q134" s="227">
        <f t="shared" si="24"/>
        <v>-0.5448276815030566</v>
      </c>
      <c r="R134" s="227">
        <f t="shared" si="25"/>
        <v>-31.216326712022973</v>
      </c>
      <c r="S134" s="236">
        <f t="shared" si="26"/>
        <v>129.5414991421668</v>
      </c>
      <c r="T134" s="236">
        <f t="shared" si="27"/>
        <v>0</v>
      </c>
      <c r="U134" s="236">
        <f t="shared" si="28"/>
        <v>0</v>
      </c>
      <c r="V134" s="237">
        <f t="shared" si="29"/>
        <v>113.5414991421668</v>
      </c>
      <c r="W134" s="237">
        <f t="shared" si="30"/>
        <v>0</v>
      </c>
      <c r="X134" s="235">
        <f t="shared" si="31"/>
        <v>0</v>
      </c>
      <c r="Y134" s="235">
        <f t="shared" si="32"/>
        <v>0</v>
      </c>
      <c r="Z134" s="235">
        <f t="shared" si="33"/>
        <v>113.5414991421668</v>
      </c>
      <c r="AA134" s="238" t="str">
        <f t="shared" si="34"/>
        <v>TRUE</v>
      </c>
      <c r="AB134" s="235">
        <f t="shared" si="35"/>
        <v>6724</v>
      </c>
      <c r="AC134" s="235">
        <f t="shared" si="36"/>
        <v>15129</v>
      </c>
      <c r="AD134" s="236">
        <f t="shared" si="37"/>
        <v>12891.672027450664</v>
      </c>
      <c r="AE134" s="235">
        <f t="shared" si="38"/>
        <v>1.3274523721476066</v>
      </c>
      <c r="AF134" s="235">
        <f t="shared" si="39"/>
        <v>76.05741842868737</v>
      </c>
      <c r="AG134" s="236">
        <f t="shared" si="40"/>
        <v>1.1104639784292833</v>
      </c>
      <c r="AH134" s="235">
        <f t="shared" si="41"/>
        <v>63.624899265304421</v>
      </c>
    </row>
    <row r="135" spans="5:34" x14ac:dyDescent="0.25">
      <c r="E135" s="222">
        <v>34</v>
      </c>
      <c r="F135" s="223">
        <v>0</v>
      </c>
      <c r="G135" s="224">
        <v>123</v>
      </c>
      <c r="H135" s="232">
        <f>R135</f>
        <v>-31.452010641129672</v>
      </c>
      <c r="I135" s="232">
        <f>$C$3 - AF135 - Y135</f>
        <v>-77.209426528632861</v>
      </c>
      <c r="J135" s="232">
        <f>AH135-$C$4</f>
        <v>-10.76036762342909</v>
      </c>
      <c r="K135" s="68">
        <f t="shared" si="21"/>
        <v>-31.452010641129672</v>
      </c>
      <c r="L135" s="68">
        <f t="shared" si="22"/>
        <v>-40</v>
      </c>
      <c r="M135" s="68">
        <f t="shared" si="23"/>
        <v>-10.76036762342909</v>
      </c>
      <c r="N135" s="226">
        <f>E135*COS(RADIANS($C$2)) + G135*SIN(RADIANS($C$2))</f>
        <v>108.86351850263526</v>
      </c>
      <c r="O135" s="226">
        <f>F135</f>
        <v>0</v>
      </c>
      <c r="P135" s="226">
        <f>-E135*SIN(RADIANS($C$2)) + G135*COS(RADIANS($C$2))</f>
        <v>-66.586292427393715</v>
      </c>
      <c r="Q135" s="227">
        <f t="shared" si="24"/>
        <v>-0.54894114206000544</v>
      </c>
      <c r="R135" s="227">
        <f t="shared" si="25"/>
        <v>-31.452010641129672</v>
      </c>
      <c r="S135" s="236">
        <f t="shared" si="26"/>
        <v>127.61269529321916</v>
      </c>
      <c r="T135" s="236">
        <f t="shared" si="27"/>
        <v>0</v>
      </c>
      <c r="U135" s="236">
        <f t="shared" si="28"/>
        <v>0</v>
      </c>
      <c r="V135" s="237">
        <f t="shared" si="29"/>
        <v>111.61269529321916</v>
      </c>
      <c r="W135" s="237">
        <f t="shared" si="30"/>
        <v>0</v>
      </c>
      <c r="X135" s="235">
        <f t="shared" si="31"/>
        <v>0</v>
      </c>
      <c r="Y135" s="235">
        <f t="shared" si="32"/>
        <v>0</v>
      </c>
      <c r="Z135" s="235">
        <f t="shared" si="33"/>
        <v>111.61269529321916</v>
      </c>
      <c r="AA135" s="238" t="str">
        <f t="shared" si="34"/>
        <v>TRUE</v>
      </c>
      <c r="AB135" s="235">
        <f t="shared" si="35"/>
        <v>6724</v>
      </c>
      <c r="AC135" s="235">
        <f t="shared" si="36"/>
        <v>15129</v>
      </c>
      <c r="AD135" s="236">
        <f t="shared" si="37"/>
        <v>12457.393750616986</v>
      </c>
      <c r="AE135" s="235">
        <f t="shared" si="38"/>
        <v>1.3475587065012993</v>
      </c>
      <c r="AF135" s="235">
        <f t="shared" si="39"/>
        <v>77.209426528632861</v>
      </c>
      <c r="AG135" s="236">
        <f t="shared" si="40"/>
        <v>1.0862865102020256</v>
      </c>
      <c r="AH135" s="235">
        <f t="shared" si="41"/>
        <v>62.23963237657091</v>
      </c>
    </row>
    <row r="136" spans="5:34" x14ac:dyDescent="0.25">
      <c r="E136" s="222">
        <v>34</v>
      </c>
      <c r="F136" s="223">
        <v>0</v>
      </c>
      <c r="G136" s="224">
        <v>122</v>
      </c>
      <c r="H136" s="232">
        <f>R136</f>
        <v>-31.572543596810252</v>
      </c>
      <c r="I136" s="232">
        <f>$C$3 - AF136 - Y136</f>
        <v>-77.788913156923215</v>
      </c>
      <c r="J136" s="232">
        <f>AH136-$C$4</f>
        <v>-11.449997425775763</v>
      </c>
      <c r="K136" s="68">
        <f t="shared" si="21"/>
        <v>-31.572543596810252</v>
      </c>
      <c r="L136" s="68">
        <f t="shared" si="22"/>
        <v>-40</v>
      </c>
      <c r="M136" s="68">
        <f t="shared" si="23"/>
        <v>-11.449997425775763</v>
      </c>
      <c r="N136" s="226">
        <f>E136*COS(RADIANS($C$2)) + G136*SIN(RADIANS($C$2))</f>
        <v>107.90225680669694</v>
      </c>
      <c r="O136" s="226">
        <f>F136</f>
        <v>0</v>
      </c>
      <c r="P136" s="226">
        <f>-E136*SIN(RADIANS($C$2)) + G136*COS(RADIANS($C$2))</f>
        <v>-66.310655071576718</v>
      </c>
      <c r="Q136" s="227">
        <f t="shared" si="24"/>
        <v>-0.55104483899379197</v>
      </c>
      <c r="R136" s="227">
        <f t="shared" si="25"/>
        <v>-31.572543596810252</v>
      </c>
      <c r="S136" s="236">
        <f t="shared" si="26"/>
        <v>126.64912159190052</v>
      </c>
      <c r="T136" s="236">
        <f t="shared" si="27"/>
        <v>0</v>
      </c>
      <c r="U136" s="236">
        <f t="shared" si="28"/>
        <v>0</v>
      </c>
      <c r="V136" s="237">
        <f t="shared" si="29"/>
        <v>110.64912159190052</v>
      </c>
      <c r="W136" s="237">
        <f t="shared" si="30"/>
        <v>0</v>
      </c>
      <c r="X136" s="235">
        <f t="shared" si="31"/>
        <v>0</v>
      </c>
      <c r="Y136" s="235">
        <f t="shared" si="32"/>
        <v>0</v>
      </c>
      <c r="Z136" s="235">
        <f t="shared" si="33"/>
        <v>110.64912159190052</v>
      </c>
      <c r="AA136" s="238" t="str">
        <f t="shared" si="34"/>
        <v>TRUE</v>
      </c>
      <c r="AB136" s="235">
        <f t="shared" si="35"/>
        <v>6724</v>
      </c>
      <c r="AC136" s="235">
        <f t="shared" si="36"/>
        <v>15129</v>
      </c>
      <c r="AD136" s="236">
        <f t="shared" si="37"/>
        <v>12243.228109059186</v>
      </c>
      <c r="AE136" s="235">
        <f t="shared" si="38"/>
        <v>1.3576726561362464</v>
      </c>
      <c r="AF136" s="235">
        <f t="shared" si="39"/>
        <v>77.788913156923215</v>
      </c>
      <c r="AG136" s="236">
        <f t="shared" si="40"/>
        <v>1.0742501995311984</v>
      </c>
      <c r="AH136" s="235">
        <f t="shared" si="41"/>
        <v>61.550002574224237</v>
      </c>
    </row>
    <row r="137" spans="5:34" x14ac:dyDescent="0.25">
      <c r="E137" s="222">
        <v>34</v>
      </c>
      <c r="F137" s="223">
        <v>0</v>
      </c>
      <c r="G137" s="224">
        <v>121</v>
      </c>
      <c r="H137" s="232">
        <f>R137</f>
        <v>-31.69492414342</v>
      </c>
      <c r="I137" s="232">
        <f>$C$3 - AF137 - Y137</f>
        <v>-78.37089910074539</v>
      </c>
      <c r="J137" s="232">
        <f>AH137-$C$4</f>
        <v>-12.137709862708178</v>
      </c>
      <c r="K137" s="68">
        <f t="shared" si="21"/>
        <v>-31.69492414342</v>
      </c>
      <c r="L137" s="68">
        <f t="shared" si="22"/>
        <v>-40</v>
      </c>
      <c r="M137" s="68">
        <f t="shared" si="23"/>
        <v>-12.137709862708178</v>
      </c>
      <c r="N137" s="226">
        <f>E137*COS(RADIANS($C$2)) + G137*SIN(RADIANS($C$2))</f>
        <v>106.94099511075862</v>
      </c>
      <c r="O137" s="226">
        <f>F137</f>
        <v>0</v>
      </c>
      <c r="P137" s="226">
        <f>-E137*SIN(RADIANS($C$2)) + G137*COS(RADIANS($C$2))</f>
        <v>-66.035017715759722</v>
      </c>
      <c r="Q137" s="227">
        <f t="shared" si="24"/>
        <v>-0.55318078247252245</v>
      </c>
      <c r="R137" s="227">
        <f t="shared" si="25"/>
        <v>-31.69492414342</v>
      </c>
      <c r="S137" s="236">
        <f t="shared" si="26"/>
        <v>125.686116973992</v>
      </c>
      <c r="T137" s="236">
        <f t="shared" si="27"/>
        <v>0</v>
      </c>
      <c r="U137" s="236">
        <f t="shared" si="28"/>
        <v>0</v>
      </c>
      <c r="V137" s="237">
        <f t="shared" si="29"/>
        <v>109.686116973992</v>
      </c>
      <c r="W137" s="237">
        <f t="shared" si="30"/>
        <v>0</v>
      </c>
      <c r="X137" s="235">
        <f t="shared" si="31"/>
        <v>0</v>
      </c>
      <c r="Y137" s="235">
        <f t="shared" si="32"/>
        <v>0</v>
      </c>
      <c r="Z137" s="235">
        <f t="shared" si="33"/>
        <v>109.686116973992</v>
      </c>
      <c r="AA137" s="238" t="str">
        <f t="shared" si="34"/>
        <v>TRUE</v>
      </c>
      <c r="AB137" s="235">
        <f t="shared" si="35"/>
        <v>6724</v>
      </c>
      <c r="AC137" s="235">
        <f t="shared" si="36"/>
        <v>15129</v>
      </c>
      <c r="AD137" s="236">
        <f t="shared" si="37"/>
        <v>12031.044256832256</v>
      </c>
      <c r="AE137" s="235">
        <f t="shared" si="38"/>
        <v>1.3678302270562703</v>
      </c>
      <c r="AF137" s="235">
        <f t="shared" si="39"/>
        <v>78.37089910074539</v>
      </c>
      <c r="AG137" s="236">
        <f t="shared" si="40"/>
        <v>1.062247353199814</v>
      </c>
      <c r="AH137" s="235">
        <f t="shared" si="41"/>
        <v>60.862290137291822</v>
      </c>
    </row>
    <row r="138" spans="5:34" x14ac:dyDescent="0.25">
      <c r="E138" s="222">
        <v>34</v>
      </c>
      <c r="F138" s="223">
        <v>0</v>
      </c>
      <c r="G138" s="224">
        <v>120</v>
      </c>
      <c r="H138" s="232">
        <f>R138</f>
        <v>-31.819193947500128</v>
      </c>
      <c r="I138" s="232">
        <f>$C$3 - AF138 - Y138</f>
        <v>-78.955521659192044</v>
      </c>
      <c r="J138" s="232">
        <f>AH138-$C$4</f>
        <v>-12.823568067876487</v>
      </c>
      <c r="K138" s="68">
        <f t="shared" si="21"/>
        <v>-31.819193947500128</v>
      </c>
      <c r="L138" s="68">
        <f t="shared" si="22"/>
        <v>-40</v>
      </c>
      <c r="M138" s="68">
        <f t="shared" si="23"/>
        <v>-12.823568067876487</v>
      </c>
      <c r="N138" s="226">
        <f>E138*COS(RADIANS($C$2)) + G138*SIN(RADIANS($C$2))</f>
        <v>105.9797334148203</v>
      </c>
      <c r="O138" s="226">
        <f>F138</f>
        <v>0</v>
      </c>
      <c r="P138" s="226">
        <f>-E138*SIN(RADIANS($C$2)) + G138*COS(RADIANS($C$2))</f>
        <v>-65.759380359942725</v>
      </c>
      <c r="Q138" s="227">
        <f t="shared" si="24"/>
        <v>-0.55534969971452897</v>
      </c>
      <c r="R138" s="227">
        <f t="shared" si="25"/>
        <v>-31.819193947500128</v>
      </c>
      <c r="S138" s="236">
        <f t="shared" si="26"/>
        <v>124.72369462135092</v>
      </c>
      <c r="T138" s="236">
        <f t="shared" si="27"/>
        <v>0</v>
      </c>
      <c r="U138" s="236">
        <f t="shared" si="28"/>
        <v>0</v>
      </c>
      <c r="V138" s="237">
        <f t="shared" si="29"/>
        <v>108.72369462135092</v>
      </c>
      <c r="W138" s="237">
        <f t="shared" si="30"/>
        <v>0</v>
      </c>
      <c r="X138" s="235">
        <f t="shared" si="31"/>
        <v>0</v>
      </c>
      <c r="Y138" s="235">
        <f t="shared" si="32"/>
        <v>0</v>
      </c>
      <c r="Z138" s="235">
        <f t="shared" si="33"/>
        <v>108.72369462135092</v>
      </c>
      <c r="AA138" s="238" t="str">
        <f t="shared" si="34"/>
        <v>TRUE</v>
      </c>
      <c r="AB138" s="235">
        <f t="shared" si="35"/>
        <v>6724</v>
      </c>
      <c r="AC138" s="235">
        <f t="shared" si="36"/>
        <v>15129</v>
      </c>
      <c r="AD138" s="236">
        <f t="shared" si="37"/>
        <v>11820.84177211677</v>
      </c>
      <c r="AE138" s="235">
        <f t="shared" si="38"/>
        <v>1.3780338155825973</v>
      </c>
      <c r="AF138" s="235">
        <f t="shared" si="39"/>
        <v>78.955521659192044</v>
      </c>
      <c r="AG138" s="236">
        <f t="shared" si="40"/>
        <v>1.0502768693178082</v>
      </c>
      <c r="AH138" s="235">
        <f t="shared" si="41"/>
        <v>60.176431932123513</v>
      </c>
    </row>
    <row r="139" spans="5:34" x14ac:dyDescent="0.25">
      <c r="E139" s="222">
        <v>34</v>
      </c>
      <c r="F139" s="223">
        <v>0</v>
      </c>
      <c r="G139" s="224">
        <v>117</v>
      </c>
      <c r="H139" s="232">
        <f>R139</f>
        <v>-32.203774214890757</v>
      </c>
      <c r="I139" s="232">
        <f>$C$3 - AF139 - Y139</f>
        <v>-80.726636602058917</v>
      </c>
      <c r="J139" s="232">
        <f>AH139-$C$4</f>
        <v>-14.870642599377064</v>
      </c>
      <c r="K139" s="68">
        <f t="shared" si="21"/>
        <v>-32.203774214890757</v>
      </c>
      <c r="L139" s="68">
        <f t="shared" si="22"/>
        <v>-40</v>
      </c>
      <c r="M139" s="68">
        <f t="shared" si="23"/>
        <v>-13</v>
      </c>
      <c r="N139" s="226">
        <f>E139*COS(RADIANS($C$2)) + G139*SIN(RADIANS($C$2))</f>
        <v>103.09594832700535</v>
      </c>
      <c r="O139" s="226">
        <f>F139</f>
        <v>0</v>
      </c>
      <c r="P139" s="226">
        <f>-E139*SIN(RADIANS($C$2)) + G139*COS(RADIANS($C$2))</f>
        <v>-64.932468292491734</v>
      </c>
      <c r="Q139" s="227">
        <f t="shared" si="24"/>
        <v>-0.56206189161869557</v>
      </c>
      <c r="R139" s="227">
        <f t="shared" si="25"/>
        <v>-32.203774214890757</v>
      </c>
      <c r="S139" s="236">
        <f t="shared" si="26"/>
        <v>121.8400590938793</v>
      </c>
      <c r="T139" s="236">
        <f t="shared" si="27"/>
        <v>0</v>
      </c>
      <c r="U139" s="236">
        <f t="shared" si="28"/>
        <v>0</v>
      </c>
      <c r="V139" s="237">
        <f t="shared" si="29"/>
        <v>105.8400590938793</v>
      </c>
      <c r="W139" s="237">
        <f t="shared" si="30"/>
        <v>0</v>
      </c>
      <c r="X139" s="235">
        <f t="shared" si="31"/>
        <v>0</v>
      </c>
      <c r="Y139" s="235">
        <f t="shared" si="32"/>
        <v>0</v>
      </c>
      <c r="Z139" s="235">
        <f t="shared" si="33"/>
        <v>105.8400590938793</v>
      </c>
      <c r="AA139" s="238" t="str">
        <f t="shared" si="34"/>
        <v>TRUE</v>
      </c>
      <c r="AB139" s="235">
        <f t="shared" si="35"/>
        <v>6724</v>
      </c>
      <c r="AC139" s="235">
        <f t="shared" si="36"/>
        <v>15129</v>
      </c>
      <c r="AD139" s="236">
        <f t="shared" si="37"/>
        <v>11202.118108995863</v>
      </c>
      <c r="AE139" s="235">
        <f t="shared" si="38"/>
        <v>1.4089456027668956</v>
      </c>
      <c r="AF139" s="235">
        <f t="shared" si="39"/>
        <v>80.726636602058917</v>
      </c>
      <c r="AG139" s="236">
        <f t="shared" si="40"/>
        <v>1.0145486787094027</v>
      </c>
      <c r="AH139" s="235">
        <f t="shared" si="41"/>
        <v>58.129357400622936</v>
      </c>
    </row>
    <row r="140" spans="5:34" x14ac:dyDescent="0.25">
      <c r="E140" s="222">
        <v>34</v>
      </c>
      <c r="F140" s="223">
        <v>0</v>
      </c>
      <c r="G140" s="224">
        <v>116</v>
      </c>
      <c r="H140" s="232">
        <f>R140</f>
        <v>-32.336042889718456</v>
      </c>
      <c r="I140" s="232">
        <f>$C$3 - AF140 - Y140</f>
        <v>-81.323253078883283</v>
      </c>
      <c r="J140" s="232">
        <f>AH140-$C$4</f>
        <v>-15.549707744780335</v>
      </c>
      <c r="K140" s="68">
        <f t="shared" si="21"/>
        <v>-32.336042889718456</v>
      </c>
      <c r="L140" s="68">
        <f t="shared" si="22"/>
        <v>-40</v>
      </c>
      <c r="M140" s="68">
        <f t="shared" si="23"/>
        <v>-13</v>
      </c>
      <c r="N140" s="226">
        <f>E140*COS(RADIANS($C$2)) + G140*SIN(RADIANS($C$2))</f>
        <v>102.13468663106703</v>
      </c>
      <c r="O140" s="226">
        <f>F140</f>
        <v>0</v>
      </c>
      <c r="P140" s="226">
        <f>-E140*SIN(RADIANS($C$2)) + G140*COS(RADIANS($C$2))</f>
        <v>-64.656830936674737</v>
      </c>
      <c r="Q140" s="227">
        <f t="shared" si="24"/>
        <v>-0.56437041549168876</v>
      </c>
      <c r="R140" s="227">
        <f t="shared" si="25"/>
        <v>-32.336042889718456</v>
      </c>
      <c r="S140" s="236">
        <f t="shared" si="26"/>
        <v>120.88010589009259</v>
      </c>
      <c r="T140" s="236">
        <f t="shared" si="27"/>
        <v>0</v>
      </c>
      <c r="U140" s="236">
        <f t="shared" si="28"/>
        <v>0</v>
      </c>
      <c r="V140" s="237">
        <f t="shared" si="29"/>
        <v>104.88010589009259</v>
      </c>
      <c r="W140" s="237">
        <f t="shared" si="30"/>
        <v>0</v>
      </c>
      <c r="X140" s="235">
        <f t="shared" si="31"/>
        <v>0</v>
      </c>
      <c r="Y140" s="235">
        <f t="shared" si="32"/>
        <v>0</v>
      </c>
      <c r="Z140" s="235">
        <f t="shared" si="33"/>
        <v>104.88010589009259</v>
      </c>
      <c r="AA140" s="238" t="str">
        <f t="shared" si="34"/>
        <v>TRUE</v>
      </c>
      <c r="AB140" s="235">
        <f t="shared" si="35"/>
        <v>6724</v>
      </c>
      <c r="AC140" s="235">
        <f t="shared" si="36"/>
        <v>15129</v>
      </c>
      <c r="AD140" s="236">
        <f t="shared" si="37"/>
        <v>10999.836611517036</v>
      </c>
      <c r="AE140" s="235">
        <f t="shared" si="38"/>
        <v>1.4193585246591292</v>
      </c>
      <c r="AF140" s="235">
        <f t="shared" si="39"/>
        <v>81.323253078883283</v>
      </c>
      <c r="AG140" s="236">
        <f t="shared" si="40"/>
        <v>1.0026967560865816</v>
      </c>
      <c r="AH140" s="235">
        <f t="shared" si="41"/>
        <v>57.450292255219665</v>
      </c>
    </row>
    <row r="141" spans="5:34" x14ac:dyDescent="0.25">
      <c r="E141" s="222">
        <v>33</v>
      </c>
      <c r="F141" s="223">
        <v>0</v>
      </c>
      <c r="G141" s="224">
        <v>115</v>
      </c>
      <c r="H141" s="232">
        <f>R141</f>
        <v>-32.011177478808449</v>
      </c>
      <c r="I141" s="232">
        <f>$C$3 - AF141 - Y141</f>
        <v>-82.098914666517771</v>
      </c>
      <c r="J141" s="232">
        <f>AH141-$C$4</f>
        <v>-16.424563207801555</v>
      </c>
      <c r="K141" s="68">
        <f t="shared" si="21"/>
        <v>-32.011177478808449</v>
      </c>
      <c r="L141" s="68">
        <f t="shared" si="22"/>
        <v>-40</v>
      </c>
      <c r="M141" s="68">
        <f t="shared" si="23"/>
        <v>-13</v>
      </c>
      <c r="N141" s="226">
        <f>E141*COS(RADIANS($C$2)) + G141*SIN(RADIANS($C$2))</f>
        <v>101.4490622909457</v>
      </c>
      <c r="O141" s="226">
        <f>F141</f>
        <v>0</v>
      </c>
      <c r="P141" s="226">
        <f>-E141*SIN(RADIANS($C$2)) + G141*COS(RADIANS($C$2))</f>
        <v>-63.419931884919414</v>
      </c>
      <c r="Q141" s="227">
        <f t="shared" si="24"/>
        <v>-0.55870044444546474</v>
      </c>
      <c r="R141" s="227">
        <f t="shared" si="25"/>
        <v>-32.011177478808449</v>
      </c>
      <c r="S141" s="236">
        <f t="shared" si="26"/>
        <v>119.64113005150027</v>
      </c>
      <c r="T141" s="236">
        <f t="shared" si="27"/>
        <v>0</v>
      </c>
      <c r="U141" s="236">
        <f t="shared" si="28"/>
        <v>0</v>
      </c>
      <c r="V141" s="237">
        <f t="shared" si="29"/>
        <v>103.64113005150027</v>
      </c>
      <c r="W141" s="237">
        <f t="shared" si="30"/>
        <v>0</v>
      </c>
      <c r="X141" s="235">
        <f t="shared" si="31"/>
        <v>0</v>
      </c>
      <c r="Y141" s="235">
        <f t="shared" si="32"/>
        <v>0</v>
      </c>
      <c r="Z141" s="235">
        <f t="shared" si="33"/>
        <v>103.64113005150027</v>
      </c>
      <c r="AA141" s="238" t="str">
        <f t="shared" si="34"/>
        <v>TRUE</v>
      </c>
      <c r="AB141" s="235">
        <f t="shared" si="35"/>
        <v>6724</v>
      </c>
      <c r="AC141" s="235">
        <f t="shared" si="36"/>
        <v>15129</v>
      </c>
      <c r="AD141" s="236">
        <f t="shared" si="37"/>
        <v>10741.483838351993</v>
      </c>
      <c r="AE141" s="235">
        <f t="shared" si="38"/>
        <v>1.4328963732445974</v>
      </c>
      <c r="AF141" s="235">
        <f t="shared" si="39"/>
        <v>82.098914666517771</v>
      </c>
      <c r="AG141" s="236">
        <f t="shared" si="40"/>
        <v>0.98742764777780179</v>
      </c>
      <c r="AH141" s="235">
        <f t="shared" si="41"/>
        <v>56.575436792198445</v>
      </c>
    </row>
    <row r="142" spans="5:34" x14ac:dyDescent="0.25">
      <c r="E142" s="222">
        <v>33</v>
      </c>
      <c r="F142" s="223">
        <v>0</v>
      </c>
      <c r="G142" s="224">
        <v>113</v>
      </c>
      <c r="H142" s="232">
        <f>R142</f>
        <v>-32.27967320213051</v>
      </c>
      <c r="I142" s="232">
        <f>$C$3 - AF142 - Y142</f>
        <v>-83.315046056092413</v>
      </c>
      <c r="J142" s="232">
        <f>AH142-$C$4</f>
        <v>-17.777886516943262</v>
      </c>
      <c r="K142" s="68">
        <f t="shared" si="21"/>
        <v>-32.27967320213051</v>
      </c>
      <c r="L142" s="68">
        <f t="shared" si="22"/>
        <v>-40</v>
      </c>
      <c r="M142" s="68">
        <f t="shared" si="23"/>
        <v>-13</v>
      </c>
      <c r="N142" s="226">
        <f>E142*COS(RADIANS($C$2)) + G142*SIN(RADIANS($C$2))</f>
        <v>99.526538899069067</v>
      </c>
      <c r="O142" s="226">
        <f>F142</f>
        <v>0</v>
      </c>
      <c r="P142" s="226">
        <f>-E142*SIN(RADIANS($C$2)) + G142*COS(RADIANS($C$2))</f>
        <v>-62.868657173285413</v>
      </c>
      <c r="Q142" s="227">
        <f t="shared" si="24"/>
        <v>-0.56338657884495846</v>
      </c>
      <c r="R142" s="227">
        <f t="shared" si="25"/>
        <v>-32.27967320213051</v>
      </c>
      <c r="S142" s="236">
        <f t="shared" si="26"/>
        <v>117.7200067957864</v>
      </c>
      <c r="T142" s="236">
        <f t="shared" si="27"/>
        <v>0</v>
      </c>
      <c r="U142" s="236">
        <f t="shared" si="28"/>
        <v>0</v>
      </c>
      <c r="V142" s="237">
        <f t="shared" si="29"/>
        <v>101.7200067957864</v>
      </c>
      <c r="W142" s="237">
        <f t="shared" si="30"/>
        <v>0</v>
      </c>
      <c r="X142" s="235">
        <f t="shared" si="31"/>
        <v>0</v>
      </c>
      <c r="Y142" s="235">
        <f t="shared" si="32"/>
        <v>0</v>
      </c>
      <c r="Z142" s="235">
        <f t="shared" si="33"/>
        <v>101.7200067957864</v>
      </c>
      <c r="AA142" s="238" t="str">
        <f t="shared" si="34"/>
        <v>TRUE</v>
      </c>
      <c r="AB142" s="235">
        <f t="shared" si="35"/>
        <v>6724</v>
      </c>
      <c r="AC142" s="235">
        <f t="shared" si="36"/>
        <v>15129</v>
      </c>
      <c r="AD142" s="236">
        <f t="shared" si="37"/>
        <v>10346.959782534832</v>
      </c>
      <c r="AE142" s="235">
        <f t="shared" si="38"/>
        <v>1.4541218701295289</v>
      </c>
      <c r="AF142" s="235">
        <f t="shared" si="39"/>
        <v>83.315046056092413</v>
      </c>
      <c r="AG142" s="236">
        <f t="shared" si="40"/>
        <v>0.96380770018929396</v>
      </c>
      <c r="AH142" s="235">
        <f t="shared" si="41"/>
        <v>55.222113483056738</v>
      </c>
    </row>
    <row r="143" spans="5:34" x14ac:dyDescent="0.25">
      <c r="E143" s="222">
        <v>33</v>
      </c>
      <c r="F143" s="223">
        <v>0</v>
      </c>
      <c r="G143" s="224">
        <v>111</v>
      </c>
      <c r="H143" s="232">
        <f>R143</f>
        <v>-32.557071375636646</v>
      </c>
      <c r="I143" s="232">
        <f>$C$3 - AF143 - Y143</f>
        <v>-84.547125746823525</v>
      </c>
      <c r="J143" s="232">
        <f>AH143-$C$4</f>
        <v>-19.125950402996985</v>
      </c>
      <c r="K143" s="68">
        <f t="shared" si="21"/>
        <v>-32.557071375636646</v>
      </c>
      <c r="L143" s="68">
        <f t="shared" si="22"/>
        <v>-40</v>
      </c>
      <c r="M143" s="68">
        <f t="shared" si="23"/>
        <v>-13</v>
      </c>
      <c r="N143" s="226">
        <f>E143*COS(RADIANS($C$2)) + G143*SIN(RADIANS($C$2))</f>
        <v>97.604015507192429</v>
      </c>
      <c r="O143" s="226">
        <f>F143</f>
        <v>0</v>
      </c>
      <c r="P143" s="226">
        <f>-E143*SIN(RADIANS($C$2)) + G143*COS(RADIANS($C$2))</f>
        <v>-62.31738246165142</v>
      </c>
      <c r="Q143" s="227">
        <f t="shared" si="24"/>
        <v>-0.568228090311659</v>
      </c>
      <c r="R143" s="227">
        <f t="shared" si="25"/>
        <v>-32.557071375636646</v>
      </c>
      <c r="S143" s="236">
        <f t="shared" si="26"/>
        <v>115.80155439371271</v>
      </c>
      <c r="T143" s="236">
        <f t="shared" si="27"/>
        <v>0</v>
      </c>
      <c r="U143" s="236">
        <f t="shared" si="28"/>
        <v>0</v>
      </c>
      <c r="V143" s="237">
        <f t="shared" si="29"/>
        <v>99.801554393712706</v>
      </c>
      <c r="W143" s="237">
        <f t="shared" si="30"/>
        <v>0</v>
      </c>
      <c r="X143" s="235">
        <f t="shared" si="31"/>
        <v>0</v>
      </c>
      <c r="Y143" s="235">
        <f t="shared" si="32"/>
        <v>0</v>
      </c>
      <c r="Z143" s="235">
        <f t="shared" si="33"/>
        <v>99.801554393712706</v>
      </c>
      <c r="AA143" s="238" t="str">
        <f t="shared" si="34"/>
        <v>TRUE</v>
      </c>
      <c r="AB143" s="235">
        <f t="shared" si="35"/>
        <v>6724</v>
      </c>
      <c r="AC143" s="235">
        <f t="shared" si="36"/>
        <v>15129</v>
      </c>
      <c r="AD143" s="236">
        <f t="shared" si="37"/>
        <v>9960.3502594011952</v>
      </c>
      <c r="AE143" s="235">
        <f t="shared" si="38"/>
        <v>1.4756257173797402</v>
      </c>
      <c r="AF143" s="235">
        <f t="shared" si="39"/>
        <v>84.547125746823525</v>
      </c>
      <c r="AG143" s="236">
        <f t="shared" si="40"/>
        <v>0.94027954685042681</v>
      </c>
      <c r="AH143" s="235">
        <f t="shared" si="41"/>
        <v>53.874049597003015</v>
      </c>
    </row>
    <row r="144" spans="5:34" x14ac:dyDescent="0.25">
      <c r="E144" s="222">
        <v>33</v>
      </c>
      <c r="F144" s="223">
        <v>0</v>
      </c>
      <c r="G144" s="224">
        <v>109</v>
      </c>
      <c r="H144" s="232">
        <f>R144</f>
        <v>-32.843808551727413</v>
      </c>
      <c r="I144" s="232">
        <f>$C$3 - AF144 - Y144</f>
        <v>-85.796646691439065</v>
      </c>
      <c r="J144" s="232">
        <f>AH144-$C$4</f>
        <v>-20.469264971151517</v>
      </c>
      <c r="K144" s="68">
        <f t="shared" si="21"/>
        <v>-32.843808551727413</v>
      </c>
      <c r="L144" s="68">
        <f t="shared" si="22"/>
        <v>-40</v>
      </c>
      <c r="M144" s="68">
        <f t="shared" si="23"/>
        <v>-13</v>
      </c>
      <c r="N144" s="226">
        <f>E144*COS(RADIANS($C$2)) + G144*SIN(RADIANS($C$2))</f>
        <v>95.681492115315791</v>
      </c>
      <c r="O144" s="226">
        <f>F144</f>
        <v>0</v>
      </c>
      <c r="P144" s="226">
        <f>-E144*SIN(RADIANS($C$2)) + G144*COS(RADIANS($C$2))</f>
        <v>-61.766107750017419</v>
      </c>
      <c r="Q144" s="227">
        <f t="shared" si="24"/>
        <v>-0.57323259812231375</v>
      </c>
      <c r="R144" s="227">
        <f t="shared" si="25"/>
        <v>-32.843808551727413</v>
      </c>
      <c r="S144" s="236">
        <f t="shared" si="26"/>
        <v>113.88590782006349</v>
      </c>
      <c r="T144" s="236">
        <f t="shared" si="27"/>
        <v>0</v>
      </c>
      <c r="U144" s="236">
        <f t="shared" si="28"/>
        <v>0</v>
      </c>
      <c r="V144" s="237">
        <f t="shared" si="29"/>
        <v>97.885907820063494</v>
      </c>
      <c r="W144" s="237">
        <f t="shared" si="30"/>
        <v>0</v>
      </c>
      <c r="X144" s="235">
        <f t="shared" si="31"/>
        <v>0</v>
      </c>
      <c r="Y144" s="235">
        <f t="shared" si="32"/>
        <v>0</v>
      </c>
      <c r="Z144" s="235">
        <f t="shared" si="33"/>
        <v>97.885907820063494</v>
      </c>
      <c r="AA144" s="238" t="str">
        <f t="shared" si="34"/>
        <v>TRUE</v>
      </c>
      <c r="AB144" s="235">
        <f t="shared" si="35"/>
        <v>6724</v>
      </c>
      <c r="AC144" s="235">
        <f t="shared" si="36"/>
        <v>15129</v>
      </c>
      <c r="AD144" s="236">
        <f t="shared" si="37"/>
        <v>9581.6509497579682</v>
      </c>
      <c r="AE144" s="235">
        <f t="shared" si="38"/>
        <v>1.4974339719359111</v>
      </c>
      <c r="AF144" s="235">
        <f t="shared" si="39"/>
        <v>85.796646691439065</v>
      </c>
      <c r="AG144" s="236">
        <f t="shared" si="40"/>
        <v>0.91683428474612449</v>
      </c>
      <c r="AH144" s="235">
        <f t="shared" si="41"/>
        <v>52.530735028848483</v>
      </c>
    </row>
    <row r="145" spans="5:34" x14ac:dyDescent="0.25">
      <c r="E145" s="222">
        <v>33</v>
      </c>
      <c r="F145" s="223">
        <v>0</v>
      </c>
      <c r="G145" s="224">
        <v>107</v>
      </c>
      <c r="H145" s="232">
        <f>R145</f>
        <v>-33.14034930475772</v>
      </c>
      <c r="I145" s="232">
        <f>$C$3 - AF145 - Y145</f>
        <v>-87.065211575815141</v>
      </c>
      <c r="J145" s="232">
        <f>AH145-$C$4</f>
        <v>-21.808349032436631</v>
      </c>
      <c r="K145" s="68">
        <f t="shared" si="21"/>
        <v>-33.14034930475772</v>
      </c>
      <c r="L145" s="68">
        <f t="shared" si="22"/>
        <v>-40</v>
      </c>
      <c r="M145" s="68">
        <f t="shared" si="23"/>
        <v>-13</v>
      </c>
      <c r="N145" s="226">
        <f>E145*COS(RADIANS($C$2)) + G145*SIN(RADIANS($C$2))</f>
        <v>93.758968723439153</v>
      </c>
      <c r="O145" s="226">
        <f>F145</f>
        <v>0</v>
      </c>
      <c r="P145" s="226">
        <f>-E145*SIN(RADIANS($C$2)) + G145*COS(RADIANS($C$2))</f>
        <v>-61.214833038383418</v>
      </c>
      <c r="Q145" s="227">
        <f t="shared" si="24"/>
        <v>-0.57840821062903591</v>
      </c>
      <c r="R145" s="227">
        <f t="shared" si="25"/>
        <v>-33.14034930475772</v>
      </c>
      <c r="S145" s="236">
        <f t="shared" si="26"/>
        <v>111.97321108193691</v>
      </c>
      <c r="T145" s="236">
        <f t="shared" si="27"/>
        <v>0</v>
      </c>
      <c r="U145" s="236">
        <f t="shared" si="28"/>
        <v>0</v>
      </c>
      <c r="V145" s="237">
        <f t="shared" si="29"/>
        <v>95.97321108193691</v>
      </c>
      <c r="W145" s="237">
        <f t="shared" si="30"/>
        <v>0</v>
      </c>
      <c r="X145" s="235">
        <f t="shared" si="31"/>
        <v>0</v>
      </c>
      <c r="Y145" s="235">
        <f t="shared" si="32"/>
        <v>0</v>
      </c>
      <c r="Z145" s="235">
        <f t="shared" si="33"/>
        <v>95.97321108193691</v>
      </c>
      <c r="AA145" s="238" t="str">
        <f t="shared" si="34"/>
        <v>TRUE</v>
      </c>
      <c r="AB145" s="235">
        <f t="shared" si="35"/>
        <v>6724</v>
      </c>
      <c r="AC145" s="235">
        <f t="shared" si="36"/>
        <v>15129</v>
      </c>
      <c r="AD145" s="236">
        <f t="shared" si="37"/>
        <v>9210.857245378018</v>
      </c>
      <c r="AE145" s="235">
        <f t="shared" si="38"/>
        <v>1.5195746059434547</v>
      </c>
      <c r="AF145" s="235">
        <f t="shared" si="39"/>
        <v>87.065211575815141</v>
      </c>
      <c r="AG145" s="236">
        <f t="shared" si="40"/>
        <v>0.89346285891572164</v>
      </c>
      <c r="AH145" s="235">
        <f t="shared" si="41"/>
        <v>51.191650967563369</v>
      </c>
    </row>
    <row r="146" spans="5:34" x14ac:dyDescent="0.25">
      <c r="E146" s="222">
        <v>33</v>
      </c>
      <c r="F146" s="223">
        <v>0</v>
      </c>
      <c r="G146" s="224">
        <v>105</v>
      </c>
      <c r="H146" s="232">
        <f>R146</f>
        <v>-33.447188423282199</v>
      </c>
      <c r="I146" s="232">
        <f>$C$3 - AF146 - Y146</f>
        <v>-88.354547091162857</v>
      </c>
      <c r="J146" s="232">
        <f>AH146-$C$4</f>
        <v>-23.143733819654045</v>
      </c>
      <c r="K146" s="68">
        <f t="shared" si="21"/>
        <v>-33.447188423282199</v>
      </c>
      <c r="L146" s="68">
        <f t="shared" si="22"/>
        <v>-40</v>
      </c>
      <c r="M146" s="68">
        <f t="shared" si="23"/>
        <v>-13</v>
      </c>
      <c r="N146" s="226">
        <f>E146*COS(RADIANS($C$2)) + G146*SIN(RADIANS($C$2))</f>
        <v>91.836445331562516</v>
      </c>
      <c r="O146" s="226">
        <f>F146</f>
        <v>0</v>
      </c>
      <c r="P146" s="226">
        <f>-E146*SIN(RADIANS($C$2)) + G146*COS(RADIANS($C$2))</f>
        <v>-60.663558326749424</v>
      </c>
      <c r="Q146" s="227">
        <f t="shared" si="24"/>
        <v>-0.58376356352120518</v>
      </c>
      <c r="R146" s="227">
        <f t="shared" si="25"/>
        <v>-33.447188423282199</v>
      </c>
      <c r="S146" s="236">
        <f t="shared" si="26"/>
        <v>110.06361796706486</v>
      </c>
      <c r="T146" s="236">
        <f t="shared" si="27"/>
        <v>0</v>
      </c>
      <c r="U146" s="236">
        <f t="shared" si="28"/>
        <v>0</v>
      </c>
      <c r="V146" s="237">
        <f t="shared" si="29"/>
        <v>94.063617967064857</v>
      </c>
      <c r="W146" s="237">
        <f t="shared" si="30"/>
        <v>0</v>
      </c>
      <c r="X146" s="235">
        <f t="shared" si="31"/>
        <v>0</v>
      </c>
      <c r="Y146" s="235">
        <f t="shared" si="32"/>
        <v>0</v>
      </c>
      <c r="Z146" s="235">
        <f t="shared" si="33"/>
        <v>94.063617967064857</v>
      </c>
      <c r="AA146" s="238" t="str">
        <f t="shared" si="34"/>
        <v>TRUE</v>
      </c>
      <c r="AB146" s="235">
        <f t="shared" si="35"/>
        <v>6724</v>
      </c>
      <c r="AC146" s="235">
        <f t="shared" si="36"/>
        <v>15129</v>
      </c>
      <c r="AD146" s="236">
        <f t="shared" si="37"/>
        <v>8847.9642250539273</v>
      </c>
      <c r="AE146" s="235">
        <f t="shared" si="38"/>
        <v>1.5420777558491703</v>
      </c>
      <c r="AF146" s="235">
        <f t="shared" si="39"/>
        <v>88.354547091162857</v>
      </c>
      <c r="AG146" s="236">
        <f t="shared" si="40"/>
        <v>0.87015599759773399</v>
      </c>
      <c r="AH146" s="235">
        <f t="shared" si="41"/>
        <v>49.856266180345955</v>
      </c>
    </row>
    <row r="147" spans="5:34" x14ac:dyDescent="0.25">
      <c r="E147" s="222">
        <v>33</v>
      </c>
      <c r="F147" s="223">
        <v>0</v>
      </c>
      <c r="G147" s="224">
        <v>103</v>
      </c>
      <c r="H147" s="232">
        <f>R147</f>
        <v>-33.764853300697474</v>
      </c>
      <c r="I147" s="232">
        <f>$C$3 - AF147 - Y147</f>
        <v>-89.666520245047209</v>
      </c>
      <c r="J147" s="232">
        <f>AH147-$C$4</f>
        <v>-24.475967125997279</v>
      </c>
      <c r="K147" s="68">
        <f t="shared" si="21"/>
        <v>-33.764853300697474</v>
      </c>
      <c r="L147" s="68">
        <f t="shared" si="22"/>
        <v>-40</v>
      </c>
      <c r="M147" s="68">
        <f t="shared" si="23"/>
        <v>-13</v>
      </c>
      <c r="N147" s="226">
        <f>E147*COS(RADIANS($C$2)) + G147*SIN(RADIANS($C$2))</f>
        <v>89.913921939685878</v>
      </c>
      <c r="O147" s="226">
        <f>F147</f>
        <v>0</v>
      </c>
      <c r="P147" s="226">
        <f>-E147*SIN(RADIANS($C$2)) + G147*COS(RADIANS($C$2))</f>
        <v>-60.11228361511543</v>
      </c>
      <c r="Q147" s="227">
        <f t="shared" si="24"/>
        <v>-0.58930786155004589</v>
      </c>
      <c r="R147" s="227">
        <f t="shared" si="25"/>
        <v>-33.764853300697474</v>
      </c>
      <c r="S147" s="236">
        <f t="shared" si="26"/>
        <v>108.15729286552988</v>
      </c>
      <c r="T147" s="236">
        <f t="shared" si="27"/>
        <v>0</v>
      </c>
      <c r="U147" s="236">
        <f t="shared" si="28"/>
        <v>0</v>
      </c>
      <c r="V147" s="237">
        <f t="shared" si="29"/>
        <v>92.157292865529882</v>
      </c>
      <c r="W147" s="237">
        <f t="shared" si="30"/>
        <v>0</v>
      </c>
      <c r="X147" s="235">
        <f t="shared" si="31"/>
        <v>0</v>
      </c>
      <c r="Y147" s="235">
        <f t="shared" si="32"/>
        <v>0</v>
      </c>
      <c r="Z147" s="235">
        <f t="shared" si="33"/>
        <v>92.157292865529882</v>
      </c>
      <c r="AA147" s="238" t="str">
        <f t="shared" si="34"/>
        <v>TRUE</v>
      </c>
      <c r="AB147" s="235">
        <f t="shared" si="35"/>
        <v>6724</v>
      </c>
      <c r="AC147" s="235">
        <f t="shared" si="36"/>
        <v>15129</v>
      </c>
      <c r="AD147" s="236">
        <f t="shared" si="37"/>
        <v>8492.9666283030456</v>
      </c>
      <c r="AE147" s="235">
        <f t="shared" si="38"/>
        <v>1.5649760070822265</v>
      </c>
      <c r="AF147" s="235">
        <f t="shared" si="39"/>
        <v>89.666520245047209</v>
      </c>
      <c r="AG147" s="236">
        <f t="shared" si="40"/>
        <v>0.84690413999731429</v>
      </c>
      <c r="AH147" s="235">
        <f t="shared" si="41"/>
        <v>48.524032874002721</v>
      </c>
    </row>
    <row r="148" spans="5:34" x14ac:dyDescent="0.25">
      <c r="E148" s="222">
        <v>33</v>
      </c>
      <c r="F148" s="223">
        <v>0</v>
      </c>
      <c r="G148" s="224">
        <v>102</v>
      </c>
      <c r="H148" s="232">
        <f>R148</f>
        <v>-33.927919762007228</v>
      </c>
      <c r="I148" s="232">
        <f>$C$3 - AF148 - Y148</f>
        <v>-90.331622299905703</v>
      </c>
      <c r="J148" s="232">
        <f>AH148-$C$4</f>
        <v>-25.141078823378614</v>
      </c>
      <c r="K148" s="68">
        <f t="shared" ref="K148:K178" si="42">MEDIAN($C$17,H148,$C$18)</f>
        <v>-33.927919762007228</v>
      </c>
      <c r="L148" s="68">
        <f t="shared" ref="L148:L178" si="43">MEDIAN($C$19,I148,$C$20)</f>
        <v>-40</v>
      </c>
      <c r="M148" s="68">
        <f t="shared" ref="M148:M178" si="44">MEDIAN($C$21,J148,$C$22)</f>
        <v>-13</v>
      </c>
      <c r="N148" s="226">
        <f>E148*COS(RADIANS($C$2)) + G148*SIN(RADIANS($C$2))</f>
        <v>88.952660243747559</v>
      </c>
      <c r="O148" s="226">
        <f>F148</f>
        <v>0</v>
      </c>
      <c r="P148" s="226">
        <f>-E148*SIN(RADIANS($C$2)) + G148*COS(RADIANS($C$2))</f>
        <v>-59.836646259298426</v>
      </c>
      <c r="Q148" s="227">
        <f t="shared" ref="Q148:Q178" si="45">ATAN2(N148, P148)</f>
        <v>-0.59215390819947711</v>
      </c>
      <c r="R148" s="227">
        <f t="shared" ref="R148:R178" si="46">DEGREES(Q148)</f>
        <v>-33.927919762007228</v>
      </c>
      <c r="S148" s="236">
        <f t="shared" ref="S148:S178" si="47">N148*COS(Q148) + P148*SIN(Q148)</f>
        <v>107.20541031123383</v>
      </c>
      <c r="T148" s="236">
        <f t="shared" ref="T148:T178" si="48">O148</f>
        <v>0</v>
      </c>
      <c r="U148" s="236">
        <f t="shared" ref="U148:U178" si="49">-N148*SIN(Q148) + P148*COS(Q148)</f>
        <v>0</v>
      </c>
      <c r="V148" s="237">
        <f t="shared" ref="V148:V178" si="50">S148-$C$5</f>
        <v>91.205410311233834</v>
      </c>
      <c r="W148" s="237">
        <f t="shared" ref="W148:W178" si="51">T148</f>
        <v>0</v>
      </c>
      <c r="X148" s="235">
        <f t="shared" ref="X148:X178" si="52">ATAN2(V148, W148)</f>
        <v>0</v>
      </c>
      <c r="Y148" s="235">
        <f t="shared" ref="Y148:Y178" si="53">DEGREES(X148)</f>
        <v>0</v>
      </c>
      <c r="Z148" s="235">
        <f t="shared" ref="Z148:Z178" si="54">SQRT(V148*V148+W148*W148)</f>
        <v>91.205410311233834</v>
      </c>
      <c r="AA148" s="238" t="str">
        <f t="shared" ref="AA148:AA178" si="55">IF($C$6 + $C$7 &gt;Z148, "TRUE", "FALSE")</f>
        <v>TRUE</v>
      </c>
      <c r="AB148" s="235">
        <f t="shared" ref="AB148:AB178" si="56">$C$6*$C$6</f>
        <v>6724</v>
      </c>
      <c r="AC148" s="235">
        <f t="shared" ref="AC148:AC178" si="57">$C$7*$C$7</f>
        <v>15129</v>
      </c>
      <c r="AD148" s="236">
        <f t="shared" ref="AD148:AD178" si="58">Z148*Z148</f>
        <v>8318.4268700405191</v>
      </c>
      <c r="AE148" s="235">
        <f t="shared" ref="AE148:AE178" si="59">ACOS(MEDIAN(-1, (AB148 + AD148 - AC148) / (2 * $C$6 * Z148), 1))</f>
        <v>1.5765842278012872</v>
      </c>
      <c r="AF148" s="235">
        <f t="shared" ref="AF148:AF178" si="60">DEGREES(AE148)</f>
        <v>90.331622299905703</v>
      </c>
      <c r="AG148" s="236">
        <f t="shared" ref="AG148:AG178" si="61">ACOS(MEDIAN(-1,(AC148 + AB148 - AD148) / (2 * $C$7 * $C$6),1))</f>
        <v>0.83529575098448183</v>
      </c>
      <c r="AH148" s="235">
        <f t="shared" ref="AH148:AH178" si="62">DEGREES(AG148)</f>
        <v>47.858921176621386</v>
      </c>
    </row>
    <row r="149" spans="5:34" x14ac:dyDescent="0.25">
      <c r="E149" s="222">
        <v>33</v>
      </c>
      <c r="F149" s="223">
        <v>0</v>
      </c>
      <c r="G149" s="224">
        <v>100</v>
      </c>
      <c r="H149" s="232">
        <f>R149</f>
        <v>-34.262889942194121</v>
      </c>
      <c r="I149" s="232">
        <f>$C$3 - AF149 - Y149</f>
        <v>-91.681406333339822</v>
      </c>
      <c r="J149" s="232">
        <f>AH149-$C$4</f>
        <v>-26.469659894154624</v>
      </c>
      <c r="K149" s="68">
        <f t="shared" si="42"/>
        <v>-34.262889942194121</v>
      </c>
      <c r="L149" s="68">
        <f t="shared" si="43"/>
        <v>-40</v>
      </c>
      <c r="M149" s="68">
        <f t="shared" si="44"/>
        <v>-13</v>
      </c>
      <c r="N149" s="226">
        <f>E149*COS(RADIANS($C$2)) + G149*SIN(RADIANS($C$2))</f>
        <v>87.030136851870921</v>
      </c>
      <c r="O149" s="226">
        <f>F149</f>
        <v>0</v>
      </c>
      <c r="P149" s="226">
        <f>-E149*SIN(RADIANS($C$2)) + G149*COS(RADIANS($C$2))</f>
        <v>-59.285371547664425</v>
      </c>
      <c r="Q149" s="227">
        <f t="shared" si="45"/>
        <v>-0.59800024073973701</v>
      </c>
      <c r="R149" s="227">
        <f t="shared" si="46"/>
        <v>-34.262889942194121</v>
      </c>
      <c r="S149" s="236">
        <f t="shared" si="47"/>
        <v>105.30432089900205</v>
      </c>
      <c r="T149" s="236">
        <f t="shared" si="48"/>
        <v>0</v>
      </c>
      <c r="U149" s="236">
        <f t="shared" si="49"/>
        <v>0</v>
      </c>
      <c r="V149" s="237">
        <f t="shared" si="50"/>
        <v>89.30432089900205</v>
      </c>
      <c r="W149" s="237">
        <f t="shared" si="51"/>
        <v>0</v>
      </c>
      <c r="X149" s="235">
        <f t="shared" si="52"/>
        <v>0</v>
      </c>
      <c r="Y149" s="235">
        <f t="shared" si="53"/>
        <v>0</v>
      </c>
      <c r="Z149" s="235">
        <f t="shared" si="54"/>
        <v>89.30432089900205</v>
      </c>
      <c r="AA149" s="238" t="str">
        <f t="shared" si="55"/>
        <v>TRUE</v>
      </c>
      <c r="AB149" s="235">
        <f t="shared" si="56"/>
        <v>6724</v>
      </c>
      <c r="AC149" s="235">
        <f t="shared" si="57"/>
        <v>15129</v>
      </c>
      <c r="AD149" s="236">
        <f t="shared" si="58"/>
        <v>7975.2617312319344</v>
      </c>
      <c r="AE149" s="235">
        <f t="shared" si="59"/>
        <v>1.6001424033755618</v>
      </c>
      <c r="AF149" s="235">
        <f t="shared" si="60"/>
        <v>91.681406333339822</v>
      </c>
      <c r="AG149" s="236">
        <f t="shared" si="61"/>
        <v>0.81210763691976862</v>
      </c>
      <c r="AH149" s="235">
        <f t="shared" si="62"/>
        <v>46.530340105845376</v>
      </c>
    </row>
    <row r="150" spans="5:34" x14ac:dyDescent="0.25">
      <c r="E150" s="222">
        <v>33</v>
      </c>
      <c r="F150" s="223">
        <v>0</v>
      </c>
      <c r="G150" s="224">
        <v>98</v>
      </c>
      <c r="H150" s="232">
        <f>R150</f>
        <v>-34.610164727827332</v>
      </c>
      <c r="I150" s="232">
        <f>$C$3 - AF150 - Y150</f>
        <v>-93.059239767601667</v>
      </c>
      <c r="J150" s="232">
        <f>AH150-$C$4</f>
        <v>-27.796563719554825</v>
      </c>
      <c r="K150" s="68">
        <f t="shared" si="42"/>
        <v>-34.610164727827332</v>
      </c>
      <c r="L150" s="68">
        <f t="shared" si="43"/>
        <v>-40</v>
      </c>
      <c r="M150" s="68">
        <f t="shared" si="44"/>
        <v>-13</v>
      </c>
      <c r="N150" s="226">
        <f>E150*COS(RADIANS($C$2)) + G150*SIN(RADIANS($C$2))</f>
        <v>85.107613459994283</v>
      </c>
      <c r="O150" s="226">
        <f>F150</f>
        <v>0</v>
      </c>
      <c r="P150" s="226">
        <f>-E150*SIN(RADIANS($C$2)) + G150*COS(RADIANS($C$2))</f>
        <v>-58.734096836030432</v>
      </c>
      <c r="Q150" s="227">
        <f t="shared" si="45"/>
        <v>-0.6040613291581941</v>
      </c>
      <c r="R150" s="227">
        <f t="shared" si="46"/>
        <v>-34.610164727827332</v>
      </c>
      <c r="S150" s="236">
        <f t="shared" si="47"/>
        <v>103.40696301506973</v>
      </c>
      <c r="T150" s="236">
        <f t="shared" si="48"/>
        <v>0</v>
      </c>
      <c r="U150" s="236">
        <f t="shared" si="49"/>
        <v>0</v>
      </c>
      <c r="V150" s="237">
        <f t="shared" si="50"/>
        <v>87.406963015069735</v>
      </c>
      <c r="W150" s="237">
        <f t="shared" si="51"/>
        <v>0</v>
      </c>
      <c r="X150" s="235">
        <f t="shared" si="52"/>
        <v>0</v>
      </c>
      <c r="Y150" s="235">
        <f t="shared" si="53"/>
        <v>0</v>
      </c>
      <c r="Z150" s="235">
        <f t="shared" si="54"/>
        <v>87.406963015069735</v>
      </c>
      <c r="AA150" s="238" t="str">
        <f t="shared" si="55"/>
        <v>TRUE</v>
      </c>
      <c r="AB150" s="235">
        <f t="shared" si="56"/>
        <v>6724</v>
      </c>
      <c r="AC150" s="235">
        <f t="shared" si="57"/>
        <v>15129</v>
      </c>
      <c r="AD150" s="236">
        <f t="shared" si="58"/>
        <v>7639.9771835177689</v>
      </c>
      <c r="AE150" s="235">
        <f t="shared" si="59"/>
        <v>1.6241901333474917</v>
      </c>
      <c r="AF150" s="235">
        <f t="shared" si="60"/>
        <v>93.059239767601667</v>
      </c>
      <c r="AG150" s="236">
        <f t="shared" si="61"/>
        <v>0.7889487963092271</v>
      </c>
      <c r="AH150" s="235">
        <f t="shared" si="62"/>
        <v>45.203436280445175</v>
      </c>
    </row>
    <row r="151" spans="5:34" x14ac:dyDescent="0.25">
      <c r="E151" s="222">
        <v>32</v>
      </c>
      <c r="F151" s="223">
        <v>0</v>
      </c>
      <c r="G151" s="224">
        <v>94</v>
      </c>
      <c r="H151" s="232">
        <f>R151</f>
        <v>-34.79988515865265</v>
      </c>
      <c r="I151" s="232">
        <f>$C$3 - AF151 - Y151</f>
        <v>-96.162723320675539</v>
      </c>
      <c r="J151" s="232">
        <f>AH151-$C$4</f>
        <v>-30.677563424917267</v>
      </c>
      <c r="K151" s="68">
        <f t="shared" si="42"/>
        <v>-34.79988515865265</v>
      </c>
      <c r="L151" s="68">
        <f t="shared" si="43"/>
        <v>-40</v>
      </c>
      <c r="M151" s="68">
        <f t="shared" si="44"/>
        <v>-13</v>
      </c>
      <c r="N151" s="226">
        <f>E151*COS(RADIANS($C$2)) + G151*SIN(RADIANS($C$2))</f>
        <v>81.538204032058005</v>
      </c>
      <c r="O151" s="226">
        <f>F151</f>
        <v>0</v>
      </c>
      <c r="P151" s="226">
        <f>-E151*SIN(RADIANS($C$2)) + G151*COS(RADIANS($C$2))</f>
        <v>-56.670285716824111</v>
      </c>
      <c r="Q151" s="227">
        <f t="shared" si="45"/>
        <v>-0.60737257533439792</v>
      </c>
      <c r="R151" s="227">
        <f t="shared" si="46"/>
        <v>-34.79988515865265</v>
      </c>
      <c r="S151" s="236">
        <f t="shared" si="47"/>
        <v>99.297532698451278</v>
      </c>
      <c r="T151" s="236">
        <f t="shared" si="48"/>
        <v>0</v>
      </c>
      <c r="U151" s="236">
        <f t="shared" si="49"/>
        <v>0</v>
      </c>
      <c r="V151" s="237">
        <f t="shared" si="50"/>
        <v>83.297532698451278</v>
      </c>
      <c r="W151" s="237">
        <f t="shared" si="51"/>
        <v>0</v>
      </c>
      <c r="X151" s="235">
        <f t="shared" si="52"/>
        <v>0</v>
      </c>
      <c r="Y151" s="235">
        <f t="shared" si="53"/>
        <v>0</v>
      </c>
      <c r="Z151" s="235">
        <f t="shared" si="54"/>
        <v>83.297532698451278</v>
      </c>
      <c r="AA151" s="238" t="str">
        <f t="shared" si="55"/>
        <v>TRUE</v>
      </c>
      <c r="AB151" s="235">
        <f t="shared" si="56"/>
        <v>6724</v>
      </c>
      <c r="AC151" s="235">
        <f t="shared" si="57"/>
        <v>15129</v>
      </c>
      <c r="AD151" s="236">
        <f t="shared" si="58"/>
        <v>6938.47895364956</v>
      </c>
      <c r="AE151" s="235">
        <f t="shared" si="59"/>
        <v>1.678356139630123</v>
      </c>
      <c r="AF151" s="235">
        <f t="shared" si="60"/>
        <v>96.162723320675539</v>
      </c>
      <c r="AG151" s="236">
        <f t="shared" si="61"/>
        <v>0.73866586570166604</v>
      </c>
      <c r="AH151" s="235">
        <f t="shared" si="62"/>
        <v>42.322436575082733</v>
      </c>
    </row>
    <row r="152" spans="5:34" x14ac:dyDescent="0.25">
      <c r="E152" s="222">
        <v>32</v>
      </c>
      <c r="F152" s="223">
        <v>0</v>
      </c>
      <c r="G152" s="224">
        <v>92</v>
      </c>
      <c r="H152" s="232">
        <f>R152</f>
        <v>-35.17900802581071</v>
      </c>
      <c r="I152" s="232">
        <f>$C$3 - AF152 - Y152</f>
        <v>-97.653239407743101</v>
      </c>
      <c r="J152" s="232">
        <f>AH152-$C$4</f>
        <v>-32.008668434914604</v>
      </c>
      <c r="K152" s="68">
        <f t="shared" si="42"/>
        <v>-35.17900802581071</v>
      </c>
      <c r="L152" s="68">
        <f t="shared" si="43"/>
        <v>-40</v>
      </c>
      <c r="M152" s="68">
        <f t="shared" si="44"/>
        <v>-13</v>
      </c>
      <c r="N152" s="226">
        <f>E152*COS(RADIANS($C$2)) + G152*SIN(RADIANS($C$2))</f>
        <v>79.615680640181367</v>
      </c>
      <c r="O152" s="226">
        <f>F152</f>
        <v>0</v>
      </c>
      <c r="P152" s="226">
        <f>-E152*SIN(RADIANS($C$2)) + G152*COS(RADIANS($C$2))</f>
        <v>-56.119011005190117</v>
      </c>
      <c r="Q152" s="227">
        <f t="shared" si="45"/>
        <v>-0.61398951763590726</v>
      </c>
      <c r="R152" s="227">
        <f t="shared" si="46"/>
        <v>-35.17900802581071</v>
      </c>
      <c r="S152" s="236">
        <f t="shared" si="47"/>
        <v>97.406365295087355</v>
      </c>
      <c r="T152" s="236">
        <f t="shared" si="48"/>
        <v>0</v>
      </c>
      <c r="U152" s="236">
        <f t="shared" si="49"/>
        <v>0</v>
      </c>
      <c r="V152" s="237">
        <f t="shared" si="50"/>
        <v>81.406365295087355</v>
      </c>
      <c r="W152" s="237">
        <f t="shared" si="51"/>
        <v>0</v>
      </c>
      <c r="X152" s="235">
        <f t="shared" si="52"/>
        <v>0</v>
      </c>
      <c r="Y152" s="235">
        <f t="shared" si="53"/>
        <v>0</v>
      </c>
      <c r="Z152" s="235">
        <f t="shared" si="54"/>
        <v>81.406365295087355</v>
      </c>
      <c r="AA152" s="238" t="str">
        <f t="shared" si="55"/>
        <v>TRUE</v>
      </c>
      <c r="AB152" s="235">
        <f t="shared" si="56"/>
        <v>6724</v>
      </c>
      <c r="AC152" s="235">
        <f t="shared" si="57"/>
        <v>15129</v>
      </c>
      <c r="AD152" s="236">
        <f t="shared" si="58"/>
        <v>6626.9963105572033</v>
      </c>
      <c r="AE152" s="235">
        <f t="shared" si="59"/>
        <v>1.7043705529033946</v>
      </c>
      <c r="AF152" s="235">
        <f t="shared" si="60"/>
        <v>97.653239407743101</v>
      </c>
      <c r="AG152" s="236">
        <f t="shared" si="61"/>
        <v>0.7154337005874204</v>
      </c>
      <c r="AH152" s="235">
        <f t="shared" si="62"/>
        <v>40.991331565085396</v>
      </c>
    </row>
    <row r="153" spans="5:34" x14ac:dyDescent="0.25">
      <c r="E153" s="222">
        <v>32</v>
      </c>
      <c r="F153" s="223">
        <v>0</v>
      </c>
      <c r="G153" s="224">
        <v>90</v>
      </c>
      <c r="H153" s="232">
        <f>R153</f>
        <v>-35.573125830410191</v>
      </c>
      <c r="I153" s="232">
        <f>$C$3 - AF153 - Y153</f>
        <v>-99.184790249476151</v>
      </c>
      <c r="J153" s="232">
        <f>AH153-$C$4</f>
        <v>-33.34137332646776</v>
      </c>
      <c r="K153" s="68">
        <f t="shared" si="42"/>
        <v>-35.573125830410191</v>
      </c>
      <c r="L153" s="68">
        <f t="shared" si="43"/>
        <v>-40</v>
      </c>
      <c r="M153" s="68">
        <f t="shared" si="44"/>
        <v>-13</v>
      </c>
      <c r="N153" s="226">
        <f>E153*COS(RADIANS($C$2)) + G153*SIN(RADIANS($C$2))</f>
        <v>77.693157248304729</v>
      </c>
      <c r="O153" s="226">
        <f>F153</f>
        <v>0</v>
      </c>
      <c r="P153" s="226">
        <f>-E153*SIN(RADIANS($C$2)) + G153*COS(RADIANS($C$2))</f>
        <v>-55.567736293556123</v>
      </c>
      <c r="Q153" s="227">
        <f t="shared" si="45"/>
        <v>-0.62086817096689983</v>
      </c>
      <c r="R153" s="227">
        <f t="shared" si="46"/>
        <v>-35.573125830410191</v>
      </c>
      <c r="S153" s="236">
        <f t="shared" si="47"/>
        <v>95.519631490076421</v>
      </c>
      <c r="T153" s="236">
        <f t="shared" si="48"/>
        <v>0</v>
      </c>
      <c r="U153" s="236">
        <f t="shared" si="49"/>
        <v>0</v>
      </c>
      <c r="V153" s="237">
        <f t="shared" si="50"/>
        <v>79.519631490076421</v>
      </c>
      <c r="W153" s="237">
        <f t="shared" si="51"/>
        <v>0</v>
      </c>
      <c r="X153" s="235">
        <f t="shared" si="52"/>
        <v>0</v>
      </c>
      <c r="Y153" s="235">
        <f t="shared" si="53"/>
        <v>0</v>
      </c>
      <c r="Z153" s="235">
        <f t="shared" si="54"/>
        <v>79.519631490076421</v>
      </c>
      <c r="AA153" s="238" t="str">
        <f t="shared" si="55"/>
        <v>TRUE</v>
      </c>
      <c r="AB153" s="235">
        <f t="shared" si="56"/>
        <v>6724</v>
      </c>
      <c r="AC153" s="235">
        <f t="shared" si="57"/>
        <v>15129</v>
      </c>
      <c r="AD153" s="236">
        <f t="shared" si="58"/>
        <v>6323.3717923175536</v>
      </c>
      <c r="AE153" s="235">
        <f t="shared" si="59"/>
        <v>1.7311011577533268</v>
      </c>
      <c r="AF153" s="235">
        <f t="shared" si="60"/>
        <v>99.184790249476151</v>
      </c>
      <c r="AG153" s="236">
        <f t="shared" si="61"/>
        <v>0.69217361227238383</v>
      </c>
      <c r="AH153" s="235">
        <f t="shared" si="62"/>
        <v>39.65862667353224</v>
      </c>
    </row>
    <row r="154" spans="5:34" x14ac:dyDescent="0.25">
      <c r="E154" s="222">
        <v>32</v>
      </c>
      <c r="F154" s="223">
        <v>0</v>
      </c>
      <c r="G154" s="224">
        <v>89</v>
      </c>
      <c r="H154" s="232">
        <f>R154</f>
        <v>-35.776076602639193</v>
      </c>
      <c r="I154" s="232">
        <f>$C$3 - AF154 - Y154</f>
        <v>-99.96717135590751</v>
      </c>
      <c r="J154" s="232">
        <f>AH154-$C$4</f>
        <v>-34.008612280937491</v>
      </c>
      <c r="K154" s="68">
        <f t="shared" si="42"/>
        <v>-35.776076602639193</v>
      </c>
      <c r="L154" s="68">
        <f t="shared" si="43"/>
        <v>-40</v>
      </c>
      <c r="M154" s="68">
        <f t="shared" si="44"/>
        <v>-13</v>
      </c>
      <c r="N154" s="226">
        <f>E154*COS(RADIANS($C$2)) + G154*SIN(RADIANS($C$2))</f>
        <v>76.73189555236641</v>
      </c>
      <c r="O154" s="226">
        <f>F154</f>
        <v>0</v>
      </c>
      <c r="P154" s="226">
        <f>-E154*SIN(RADIANS($C$2)) + G154*COS(RADIANS($C$2))</f>
        <v>-55.292098937739119</v>
      </c>
      <c r="Q154" s="227">
        <f t="shared" si="45"/>
        <v>-0.62441033016176095</v>
      </c>
      <c r="R154" s="227">
        <f t="shared" si="46"/>
        <v>-35.776076602639193</v>
      </c>
      <c r="S154" s="236">
        <f t="shared" si="47"/>
        <v>94.578010129204984</v>
      </c>
      <c r="T154" s="236">
        <f t="shared" si="48"/>
        <v>0</v>
      </c>
      <c r="U154" s="236">
        <f t="shared" si="49"/>
        <v>0</v>
      </c>
      <c r="V154" s="237">
        <f t="shared" si="50"/>
        <v>78.578010129204984</v>
      </c>
      <c r="W154" s="237">
        <f t="shared" si="51"/>
        <v>0</v>
      </c>
      <c r="X154" s="235">
        <f t="shared" si="52"/>
        <v>0</v>
      </c>
      <c r="Y154" s="235">
        <f t="shared" si="53"/>
        <v>0</v>
      </c>
      <c r="Z154" s="235">
        <f t="shared" si="54"/>
        <v>78.578010129204984</v>
      </c>
      <c r="AA154" s="238" t="str">
        <f t="shared" si="55"/>
        <v>TRUE</v>
      </c>
      <c r="AB154" s="235">
        <f t="shared" si="56"/>
        <v>6724</v>
      </c>
      <c r="AC154" s="235">
        <f t="shared" si="57"/>
        <v>15129</v>
      </c>
      <c r="AD154" s="236">
        <f t="shared" si="58"/>
        <v>6174.5036758654414</v>
      </c>
      <c r="AE154" s="235">
        <f t="shared" si="59"/>
        <v>1.7447562840659503</v>
      </c>
      <c r="AF154" s="235">
        <f t="shared" si="60"/>
        <v>99.96717135590751</v>
      </c>
      <c r="AG154" s="236">
        <f t="shared" si="61"/>
        <v>0.68052809561932259</v>
      </c>
      <c r="AH154" s="235">
        <f t="shared" si="62"/>
        <v>38.991387719062509</v>
      </c>
    </row>
    <row r="155" spans="5:34" x14ac:dyDescent="0.25">
      <c r="E155" s="222">
        <v>32</v>
      </c>
      <c r="F155" s="223">
        <v>0</v>
      </c>
      <c r="G155" s="224">
        <v>87</v>
      </c>
      <c r="H155" s="232">
        <f>R155</f>
        <v>-36.194334245183967</v>
      </c>
      <c r="I155" s="232">
        <f>$C$3 - AF155 - Y155</f>
        <v>-101.56783570500781</v>
      </c>
      <c r="J155" s="232">
        <f>AH155-$C$4</f>
        <v>-35.345489623504946</v>
      </c>
      <c r="K155" s="68">
        <f t="shared" si="42"/>
        <v>-36.194334245183967</v>
      </c>
      <c r="L155" s="68">
        <f t="shared" si="43"/>
        <v>-40</v>
      </c>
      <c r="M155" s="68">
        <f t="shared" si="44"/>
        <v>-13</v>
      </c>
      <c r="N155" s="226">
        <f>E155*COS(RADIANS($C$2)) + G155*SIN(RADIANS($C$2))</f>
        <v>74.809372160489772</v>
      </c>
      <c r="O155" s="226">
        <f>F155</f>
        <v>0</v>
      </c>
      <c r="P155" s="226">
        <f>-E155*SIN(RADIANS($C$2)) + G155*COS(RADIANS($C$2))</f>
        <v>-54.740824226105119</v>
      </c>
      <c r="Q155" s="227">
        <f t="shared" si="45"/>
        <v>-0.63171030314579679</v>
      </c>
      <c r="R155" s="227">
        <f t="shared" si="46"/>
        <v>-36.194334245183967</v>
      </c>
      <c r="S155" s="236">
        <f t="shared" si="47"/>
        <v>92.698435801258256</v>
      </c>
      <c r="T155" s="236">
        <f t="shared" si="48"/>
        <v>0</v>
      </c>
      <c r="U155" s="236">
        <f t="shared" si="49"/>
        <v>0</v>
      </c>
      <c r="V155" s="237">
        <f t="shared" si="50"/>
        <v>76.698435801258256</v>
      </c>
      <c r="W155" s="237">
        <f t="shared" si="51"/>
        <v>0</v>
      </c>
      <c r="X155" s="235">
        <f t="shared" si="52"/>
        <v>0</v>
      </c>
      <c r="Y155" s="235">
        <f t="shared" si="53"/>
        <v>0</v>
      </c>
      <c r="Z155" s="235">
        <f t="shared" si="54"/>
        <v>76.698435801258256</v>
      </c>
      <c r="AA155" s="238" t="str">
        <f t="shared" si="55"/>
        <v>TRUE</v>
      </c>
      <c r="AB155" s="235">
        <f t="shared" si="56"/>
        <v>6724</v>
      </c>
      <c r="AC155" s="235">
        <f t="shared" si="57"/>
        <v>15129</v>
      </c>
      <c r="AD155" s="236">
        <f t="shared" si="58"/>
        <v>5882.650054359734</v>
      </c>
      <c r="AE155" s="235">
        <f t="shared" si="59"/>
        <v>1.7726931471770424</v>
      </c>
      <c r="AF155" s="235">
        <f t="shared" si="60"/>
        <v>101.56783570500781</v>
      </c>
      <c r="AG155" s="236">
        <f t="shared" si="61"/>
        <v>0.65719518429620827</v>
      </c>
      <c r="AH155" s="235">
        <f t="shared" si="62"/>
        <v>37.654510376495054</v>
      </c>
    </row>
    <row r="156" spans="5:34" x14ac:dyDescent="0.25">
      <c r="E156" s="222">
        <v>32</v>
      </c>
      <c r="F156" s="223">
        <v>0</v>
      </c>
      <c r="G156" s="224">
        <v>85</v>
      </c>
      <c r="H156" s="232">
        <f>R156</f>
        <v>-36.629879946126174</v>
      </c>
      <c r="I156" s="232">
        <f>$C$3 - AF156 - Y156</f>
        <v>-103.22035154384801</v>
      </c>
      <c r="J156" s="232">
        <f>AH156-$C$4</f>
        <v>-36.686486142397364</v>
      </c>
      <c r="K156" s="68">
        <f t="shared" si="42"/>
        <v>-36.629879946126174</v>
      </c>
      <c r="L156" s="68">
        <f t="shared" si="43"/>
        <v>-40</v>
      </c>
      <c r="M156" s="68">
        <f t="shared" si="44"/>
        <v>-13</v>
      </c>
      <c r="N156" s="226">
        <f>E156*COS(RADIANS($C$2)) + G156*SIN(RADIANS($C$2))</f>
        <v>72.886848768613135</v>
      </c>
      <c r="O156" s="226">
        <f>F156</f>
        <v>0</v>
      </c>
      <c r="P156" s="226">
        <f>-E156*SIN(RADIANS($C$2)) + G156*COS(RADIANS($C$2))</f>
        <v>-54.189549514471125</v>
      </c>
      <c r="Q156" s="227">
        <f t="shared" si="45"/>
        <v>-0.6393120096701449</v>
      </c>
      <c r="R156" s="227">
        <f t="shared" si="46"/>
        <v>-36.629879946126174</v>
      </c>
      <c r="S156" s="236">
        <f t="shared" si="47"/>
        <v>90.824005637276315</v>
      </c>
      <c r="T156" s="236">
        <f t="shared" si="48"/>
        <v>0</v>
      </c>
      <c r="U156" s="236">
        <f t="shared" si="49"/>
        <v>0</v>
      </c>
      <c r="V156" s="237">
        <f t="shared" si="50"/>
        <v>74.824005637276315</v>
      </c>
      <c r="W156" s="237">
        <f t="shared" si="51"/>
        <v>0</v>
      </c>
      <c r="X156" s="235">
        <f t="shared" si="52"/>
        <v>0</v>
      </c>
      <c r="Y156" s="235">
        <f t="shared" si="53"/>
        <v>0</v>
      </c>
      <c r="Z156" s="235">
        <f t="shared" si="54"/>
        <v>74.824005637276315</v>
      </c>
      <c r="AA156" s="238" t="str">
        <f t="shared" si="55"/>
        <v>TRUE</v>
      </c>
      <c r="AB156" s="235">
        <f t="shared" si="56"/>
        <v>6724</v>
      </c>
      <c r="AC156" s="235">
        <f t="shared" si="57"/>
        <v>15129</v>
      </c>
      <c r="AD156" s="236">
        <f t="shared" si="58"/>
        <v>5598.6318196071579</v>
      </c>
      <c r="AE156" s="235">
        <f t="shared" si="59"/>
        <v>1.8015349895061599</v>
      </c>
      <c r="AF156" s="235">
        <f t="shared" si="60"/>
        <v>103.22035154384801</v>
      </c>
      <c r="AG156" s="236">
        <f t="shared" si="61"/>
        <v>0.6337903797837533</v>
      </c>
      <c r="AH156" s="235">
        <f t="shared" si="62"/>
        <v>36.313513857602636</v>
      </c>
    </row>
    <row r="157" spans="5:34" x14ac:dyDescent="0.25">
      <c r="E157" s="222">
        <v>32</v>
      </c>
      <c r="F157" s="223">
        <v>0</v>
      </c>
      <c r="G157" s="224">
        <v>83</v>
      </c>
      <c r="H157" s="232">
        <f>R157</f>
        <v>-37.083754582380642</v>
      </c>
      <c r="I157" s="232">
        <f>$C$3 - AF157 - Y157</f>
        <v>-104.93004849436761</v>
      </c>
      <c r="J157" s="232">
        <f>AH157-$C$4</f>
        <v>-38.032827481657137</v>
      </c>
      <c r="K157" s="68">
        <f t="shared" si="42"/>
        <v>-37.083754582380642</v>
      </c>
      <c r="L157" s="68">
        <f t="shared" si="43"/>
        <v>-40</v>
      </c>
      <c r="M157" s="68">
        <f t="shared" si="44"/>
        <v>-13</v>
      </c>
      <c r="N157" s="226">
        <f>E157*COS(RADIANS($C$2)) + G157*SIN(RADIANS($C$2))</f>
        <v>70.964325376736497</v>
      </c>
      <c r="O157" s="226">
        <f>F157</f>
        <v>0</v>
      </c>
      <c r="P157" s="226">
        <f>-E157*SIN(RADIANS($C$2)) + G157*COS(RADIANS($C$2))</f>
        <v>-53.638274802837131</v>
      </c>
      <c r="Q157" s="227">
        <f t="shared" si="45"/>
        <v>-0.64723361646407696</v>
      </c>
      <c r="R157" s="227">
        <f t="shared" si="46"/>
        <v>-37.083754582380642</v>
      </c>
      <c r="S157" s="236">
        <f t="shared" si="47"/>
        <v>88.955044826024334</v>
      </c>
      <c r="T157" s="236">
        <f t="shared" si="48"/>
        <v>0</v>
      </c>
      <c r="U157" s="236">
        <f t="shared" si="49"/>
        <v>0</v>
      </c>
      <c r="V157" s="237">
        <f t="shared" si="50"/>
        <v>72.955044826024334</v>
      </c>
      <c r="W157" s="237">
        <f t="shared" si="51"/>
        <v>0</v>
      </c>
      <c r="X157" s="235">
        <f t="shared" si="52"/>
        <v>0</v>
      </c>
      <c r="Y157" s="235">
        <f t="shared" si="53"/>
        <v>0</v>
      </c>
      <c r="Z157" s="235">
        <f t="shared" si="54"/>
        <v>72.955044826024334</v>
      </c>
      <c r="AA157" s="238" t="str">
        <f t="shared" si="55"/>
        <v>TRUE</v>
      </c>
      <c r="AB157" s="235">
        <f t="shared" si="56"/>
        <v>6724</v>
      </c>
      <c r="AC157" s="235">
        <f t="shared" si="57"/>
        <v>15129</v>
      </c>
      <c r="AD157" s="236">
        <f t="shared" si="58"/>
        <v>5322.4385655672204</v>
      </c>
      <c r="AE157" s="235">
        <f t="shared" si="59"/>
        <v>1.8313748305040334</v>
      </c>
      <c r="AF157" s="235">
        <f t="shared" si="60"/>
        <v>104.93004849436761</v>
      </c>
      <c r="AG157" s="236">
        <f t="shared" si="61"/>
        <v>0.61029229055796019</v>
      </c>
      <c r="AH157" s="235">
        <f t="shared" si="62"/>
        <v>34.967172518342863</v>
      </c>
    </row>
    <row r="158" spans="5:34" x14ac:dyDescent="0.25">
      <c r="E158" s="222">
        <v>32</v>
      </c>
      <c r="F158" s="223">
        <v>0</v>
      </c>
      <c r="G158" s="224">
        <v>81</v>
      </c>
      <c r="H158" s="232">
        <f>R158</f>
        <v>-37.557079285037709</v>
      </c>
      <c r="I158" s="232">
        <f>$C$3 - AF158 - Y158</f>
        <v>-106.70299551654658</v>
      </c>
      <c r="J158" s="232">
        <f>AH158-$C$4</f>
        <v>-39.385906867835708</v>
      </c>
      <c r="K158" s="68">
        <f t="shared" si="42"/>
        <v>-37.557079285037709</v>
      </c>
      <c r="L158" s="68">
        <f t="shared" si="43"/>
        <v>-40</v>
      </c>
      <c r="M158" s="68">
        <f t="shared" si="44"/>
        <v>-13</v>
      </c>
      <c r="N158" s="226">
        <f>E158*COS(RADIANS($C$2)) + G158*SIN(RADIANS($C$2))</f>
        <v>69.041801984859859</v>
      </c>
      <c r="O158" s="226">
        <f>F158</f>
        <v>0</v>
      </c>
      <c r="P158" s="226">
        <f>-E158*SIN(RADIANS($C$2)) + G158*COS(RADIANS($C$2))</f>
        <v>-53.087000091203123</v>
      </c>
      <c r="Q158" s="227">
        <f t="shared" si="45"/>
        <v>-0.65549469095646595</v>
      </c>
      <c r="R158" s="227">
        <f t="shared" si="46"/>
        <v>-37.557079285037709</v>
      </c>
      <c r="S158" s="236">
        <f t="shared" si="47"/>
        <v>87.091905479212016</v>
      </c>
      <c r="T158" s="236">
        <f t="shared" si="48"/>
        <v>0</v>
      </c>
      <c r="U158" s="236">
        <f t="shared" si="49"/>
        <v>0</v>
      </c>
      <c r="V158" s="237">
        <f t="shared" si="50"/>
        <v>71.091905479212016</v>
      </c>
      <c r="W158" s="237">
        <f t="shared" si="51"/>
        <v>0</v>
      </c>
      <c r="X158" s="235">
        <f t="shared" si="52"/>
        <v>0</v>
      </c>
      <c r="Y158" s="235">
        <f t="shared" si="53"/>
        <v>0</v>
      </c>
      <c r="Z158" s="235">
        <f t="shared" si="54"/>
        <v>71.091905479212016</v>
      </c>
      <c r="AA158" s="238" t="str">
        <f t="shared" si="55"/>
        <v>TRUE</v>
      </c>
      <c r="AB158" s="235">
        <f t="shared" si="56"/>
        <v>6724</v>
      </c>
      <c r="AC158" s="235">
        <f t="shared" si="57"/>
        <v>15129</v>
      </c>
      <c r="AD158" s="236">
        <f t="shared" si="58"/>
        <v>5054.0590246652155</v>
      </c>
      <c r="AE158" s="235">
        <f t="shared" si="59"/>
        <v>1.8623185935044853</v>
      </c>
      <c r="AF158" s="235">
        <f t="shared" si="60"/>
        <v>106.70299551654658</v>
      </c>
      <c r="AG158" s="236">
        <f t="shared" si="61"/>
        <v>0.58667660022828028</v>
      </c>
      <c r="AH158" s="235">
        <f t="shared" si="62"/>
        <v>33.614093132164292</v>
      </c>
    </row>
    <row r="159" spans="5:34" x14ac:dyDescent="0.25">
      <c r="E159" s="222">
        <v>32</v>
      </c>
      <c r="F159" s="223">
        <v>0</v>
      </c>
      <c r="G159" s="224">
        <v>79</v>
      </c>
      <c r="H159" s="232">
        <f>R159</f>
        <v>-38.051062719076725</v>
      </c>
      <c r="I159" s="232">
        <f>$C$3 - AF159 - Y159</f>
        <v>-108.54615137009583</v>
      </c>
      <c r="J159" s="232">
        <f>AH159-$C$4</f>
        <v>-40.747324822194606</v>
      </c>
      <c r="K159" s="68">
        <f t="shared" si="42"/>
        <v>-38.051062719076725</v>
      </c>
      <c r="L159" s="68">
        <f t="shared" si="43"/>
        <v>-40</v>
      </c>
      <c r="M159" s="68">
        <f t="shared" si="44"/>
        <v>-13</v>
      </c>
      <c r="N159" s="226">
        <f>E159*COS(RADIANS($C$2)) + G159*SIN(RADIANS($C$2))</f>
        <v>67.119278592983221</v>
      </c>
      <c r="O159" s="226">
        <f>F159</f>
        <v>0</v>
      </c>
      <c r="P159" s="226">
        <f>-E159*SIN(RADIANS($C$2)) + G159*COS(RADIANS($C$2))</f>
        <v>-52.535725379569129</v>
      </c>
      <c r="Q159" s="227">
        <f t="shared" si="45"/>
        <v>-0.66411632833075496</v>
      </c>
      <c r="R159" s="227">
        <f t="shared" si="46"/>
        <v>-38.051062719076725</v>
      </c>
      <c r="S159" s="236">
        <f t="shared" si="47"/>
        <v>85.234969349440135</v>
      </c>
      <c r="T159" s="236">
        <f t="shared" si="48"/>
        <v>0</v>
      </c>
      <c r="U159" s="236">
        <f t="shared" si="49"/>
        <v>0</v>
      </c>
      <c r="V159" s="237">
        <f t="shared" si="50"/>
        <v>69.234969349440135</v>
      </c>
      <c r="W159" s="237">
        <f t="shared" si="51"/>
        <v>0</v>
      </c>
      <c r="X159" s="235">
        <f t="shared" si="52"/>
        <v>0</v>
      </c>
      <c r="Y159" s="235">
        <f t="shared" si="53"/>
        <v>0</v>
      </c>
      <c r="Z159" s="235">
        <f t="shared" si="54"/>
        <v>69.234969349440135</v>
      </c>
      <c r="AA159" s="238" t="str">
        <f t="shared" si="55"/>
        <v>TRUE</v>
      </c>
      <c r="AB159" s="235">
        <f t="shared" si="56"/>
        <v>6724</v>
      </c>
      <c r="AC159" s="235">
        <f t="shared" si="57"/>
        <v>15129</v>
      </c>
      <c r="AD159" s="236">
        <f t="shared" si="58"/>
        <v>4793.4809808179152</v>
      </c>
      <c r="AE159" s="235">
        <f t="shared" si="59"/>
        <v>1.8944877317763262</v>
      </c>
      <c r="AF159" s="235">
        <f t="shared" si="60"/>
        <v>108.54615137009583</v>
      </c>
      <c r="AG159" s="236">
        <f t="shared" si="61"/>
        <v>0.56291537442895168</v>
      </c>
      <c r="AH159" s="235">
        <f t="shared" si="62"/>
        <v>32.252675177805394</v>
      </c>
    </row>
    <row r="160" spans="5:34" x14ac:dyDescent="0.25">
      <c r="E160" s="222">
        <v>32</v>
      </c>
      <c r="F160" s="223">
        <v>0</v>
      </c>
      <c r="G160" s="224">
        <v>75</v>
      </c>
      <c r="H160" s="232">
        <f>R160</f>
        <v>-39.106326858271565</v>
      </c>
      <c r="I160" s="232">
        <f>$C$3 - AF160 - Y160</f>
        <v>-112.47658356173903</v>
      </c>
      <c r="J160" s="232">
        <f>AH160-$C$4</f>
        <v>-43.502940253952737</v>
      </c>
      <c r="K160" s="68">
        <f t="shared" si="42"/>
        <v>-39.106326858271565</v>
      </c>
      <c r="L160" s="68">
        <f t="shared" si="43"/>
        <v>-40</v>
      </c>
      <c r="M160" s="68">
        <f t="shared" si="44"/>
        <v>-13</v>
      </c>
      <c r="N160" s="226">
        <f>E160*COS(RADIANS($C$2)) + G160*SIN(RADIANS($C$2))</f>
        <v>63.274231809229946</v>
      </c>
      <c r="O160" s="226">
        <f>F160</f>
        <v>0</v>
      </c>
      <c r="P160" s="226">
        <f>-E160*SIN(RADIANS($C$2)) + G160*COS(RADIANS($C$2))</f>
        <v>-51.433175956301135</v>
      </c>
      <c r="Q160" s="227">
        <f t="shared" si="45"/>
        <v>-0.68253416203792872</v>
      </c>
      <c r="R160" s="227">
        <f t="shared" si="46"/>
        <v>-39.106326858271565</v>
      </c>
      <c r="S160" s="236">
        <f t="shared" si="47"/>
        <v>81.541400527584756</v>
      </c>
      <c r="T160" s="236">
        <f t="shared" si="48"/>
        <v>0</v>
      </c>
      <c r="U160" s="236">
        <f t="shared" si="49"/>
        <v>0</v>
      </c>
      <c r="V160" s="237">
        <f t="shared" si="50"/>
        <v>65.541400527584756</v>
      </c>
      <c r="W160" s="237">
        <f t="shared" si="51"/>
        <v>0</v>
      </c>
      <c r="X160" s="235">
        <f t="shared" si="52"/>
        <v>0</v>
      </c>
      <c r="Y160" s="235">
        <f t="shared" si="53"/>
        <v>0</v>
      </c>
      <c r="Z160" s="235">
        <f t="shared" si="54"/>
        <v>65.541400527584756</v>
      </c>
      <c r="AA160" s="238" t="str">
        <f t="shared" si="55"/>
        <v>TRUE</v>
      </c>
      <c r="AB160" s="235">
        <f t="shared" si="56"/>
        <v>6724</v>
      </c>
      <c r="AC160" s="235">
        <f t="shared" si="57"/>
        <v>15129</v>
      </c>
      <c r="AD160" s="236">
        <f t="shared" si="58"/>
        <v>4295.6751831172869</v>
      </c>
      <c r="AE160" s="235">
        <f t="shared" si="59"/>
        <v>1.9630867145468769</v>
      </c>
      <c r="AF160" s="235">
        <f t="shared" si="60"/>
        <v>112.47658356173903</v>
      </c>
      <c r="AG160" s="236">
        <f t="shared" si="61"/>
        <v>0.51482081222600717</v>
      </c>
      <c r="AH160" s="235">
        <f t="shared" si="62"/>
        <v>29.497059746047263</v>
      </c>
    </row>
    <row r="161" spans="5:34" x14ac:dyDescent="0.25">
      <c r="E161" s="222">
        <v>32</v>
      </c>
      <c r="F161" s="223">
        <v>0</v>
      </c>
      <c r="G161" s="224">
        <v>74</v>
      </c>
      <c r="H161" s="232">
        <f>R161</f>
        <v>-39.385221057213748</v>
      </c>
      <c r="I161" s="232">
        <f>$C$3 - AF161 - Y161</f>
        <v>-113.51732642626895</v>
      </c>
      <c r="J161" s="232">
        <f>AH161-$C$4</f>
        <v>-44.200378102760141</v>
      </c>
      <c r="K161" s="68">
        <f t="shared" si="42"/>
        <v>-39.385221057213748</v>
      </c>
      <c r="L161" s="68">
        <f t="shared" si="43"/>
        <v>-40</v>
      </c>
      <c r="M161" s="68">
        <f t="shared" si="44"/>
        <v>-13</v>
      </c>
      <c r="N161" s="226">
        <f>E161*COS(RADIANS($C$2)) + G161*SIN(RADIANS($C$2))</f>
        <v>62.312970113291627</v>
      </c>
      <c r="O161" s="226">
        <f>F161</f>
        <v>0</v>
      </c>
      <c r="P161" s="226">
        <f>-E161*SIN(RADIANS($C$2)) + G161*COS(RADIANS($C$2))</f>
        <v>-51.157538600484131</v>
      </c>
      <c r="Q161" s="227">
        <f t="shared" si="45"/>
        <v>-0.68740178407418184</v>
      </c>
      <c r="R161" s="227">
        <f t="shared" si="46"/>
        <v>-39.385221057213748</v>
      </c>
      <c r="S161" s="236">
        <f t="shared" si="47"/>
        <v>80.622577482985491</v>
      </c>
      <c r="T161" s="236">
        <f t="shared" si="48"/>
        <v>0</v>
      </c>
      <c r="U161" s="236">
        <f t="shared" si="49"/>
        <v>0</v>
      </c>
      <c r="V161" s="237">
        <f t="shared" si="50"/>
        <v>64.622577482985491</v>
      </c>
      <c r="W161" s="237">
        <f t="shared" si="51"/>
        <v>0</v>
      </c>
      <c r="X161" s="235">
        <f t="shared" si="52"/>
        <v>0</v>
      </c>
      <c r="Y161" s="235">
        <f t="shared" si="53"/>
        <v>0</v>
      </c>
      <c r="Z161" s="235">
        <f t="shared" si="54"/>
        <v>64.622577482985491</v>
      </c>
      <c r="AA161" s="238" t="str">
        <f t="shared" si="55"/>
        <v>TRUE</v>
      </c>
      <c r="AB161" s="235">
        <f t="shared" si="56"/>
        <v>6724</v>
      </c>
      <c r="AC161" s="235">
        <f t="shared" si="57"/>
        <v>15129</v>
      </c>
      <c r="AD161" s="236">
        <f t="shared" si="58"/>
        <v>4176.0775205444634</v>
      </c>
      <c r="AE161" s="235">
        <f t="shared" si="59"/>
        <v>1.9812511041995613</v>
      </c>
      <c r="AF161" s="235">
        <f t="shared" si="60"/>
        <v>113.51732642626895</v>
      </c>
      <c r="AG161" s="236">
        <f t="shared" si="61"/>
        <v>0.50264822543629162</v>
      </c>
      <c r="AH161" s="235">
        <f t="shared" si="62"/>
        <v>28.799621897239863</v>
      </c>
    </row>
    <row r="162" spans="5:34" x14ac:dyDescent="0.25">
      <c r="E162" s="222">
        <v>32</v>
      </c>
      <c r="F162" s="223">
        <v>0</v>
      </c>
      <c r="G162" s="224">
        <v>72</v>
      </c>
      <c r="H162" s="232">
        <f>R162</f>
        <v>-39.962488974578179</v>
      </c>
      <c r="I162" s="232">
        <f>$C$3 - AF162 - Y162</f>
        <v>-115.67910531249078</v>
      </c>
      <c r="J162" s="232">
        <f>AH162-$C$4</f>
        <v>-45.607997842899408</v>
      </c>
      <c r="K162" s="68">
        <f t="shared" si="42"/>
        <v>-39.962488974578179</v>
      </c>
      <c r="L162" s="68">
        <f t="shared" si="43"/>
        <v>-40</v>
      </c>
      <c r="M162" s="68">
        <f t="shared" si="44"/>
        <v>-13</v>
      </c>
      <c r="N162" s="226">
        <f>E162*COS(RADIANS($C$2)) + G162*SIN(RADIANS($C$2))</f>
        <v>60.390446721414989</v>
      </c>
      <c r="O162" s="226">
        <f>F162</f>
        <v>0</v>
      </c>
      <c r="P162" s="226">
        <f>-E162*SIN(RADIANS($C$2)) + G162*COS(RADIANS($C$2))</f>
        <v>-50.606263888850137</v>
      </c>
      <c r="Q162" s="227">
        <f t="shared" si="45"/>
        <v>-0.69747700989832173</v>
      </c>
      <c r="R162" s="227">
        <f t="shared" si="46"/>
        <v>-39.962488974578179</v>
      </c>
      <c r="S162" s="236">
        <f t="shared" si="47"/>
        <v>78.790862414368831</v>
      </c>
      <c r="T162" s="236">
        <f t="shared" si="48"/>
        <v>0</v>
      </c>
      <c r="U162" s="236">
        <f t="shared" si="49"/>
        <v>0</v>
      </c>
      <c r="V162" s="237">
        <f t="shared" si="50"/>
        <v>62.790862414368831</v>
      </c>
      <c r="W162" s="237">
        <f t="shared" si="51"/>
        <v>0</v>
      </c>
      <c r="X162" s="235">
        <f t="shared" si="52"/>
        <v>0</v>
      </c>
      <c r="Y162" s="235">
        <f t="shared" si="53"/>
        <v>0</v>
      </c>
      <c r="Z162" s="235">
        <f t="shared" si="54"/>
        <v>62.790862414368831</v>
      </c>
      <c r="AA162" s="238" t="str">
        <f t="shared" si="55"/>
        <v>TRUE</v>
      </c>
      <c r="AB162" s="235">
        <f t="shared" si="56"/>
        <v>6724</v>
      </c>
      <c r="AC162" s="235">
        <f t="shared" si="57"/>
        <v>15129</v>
      </c>
      <c r="AD162" s="236">
        <f t="shared" si="58"/>
        <v>3942.6924027401965</v>
      </c>
      <c r="AE162" s="235">
        <f t="shared" si="59"/>
        <v>2.0189812634642279</v>
      </c>
      <c r="AF162" s="235">
        <f t="shared" si="60"/>
        <v>115.67910531249078</v>
      </c>
      <c r="AG162" s="236">
        <f t="shared" si="61"/>
        <v>0.47808062635479431</v>
      </c>
      <c r="AH162" s="235">
        <f t="shared" si="62"/>
        <v>27.392002157100588</v>
      </c>
    </row>
    <row r="163" spans="5:34" x14ac:dyDescent="0.25">
      <c r="E163" s="222">
        <v>31</v>
      </c>
      <c r="F163" s="223">
        <v>0</v>
      </c>
      <c r="G163" s="224">
        <v>70</v>
      </c>
      <c r="H163" s="232">
        <f>R163</f>
        <v>-39.886499921634744</v>
      </c>
      <c r="I163" s="232">
        <f>$C$3 - AF163 - Y163</f>
        <v>-118.49334703009801</v>
      </c>
      <c r="J163" s="232">
        <f>AH163-$C$4</f>
        <v>-47.361004522836012</v>
      </c>
      <c r="K163" s="68">
        <f t="shared" si="42"/>
        <v>-39.886499921634744</v>
      </c>
      <c r="L163" s="68">
        <f t="shared" si="43"/>
        <v>-40</v>
      </c>
      <c r="M163" s="68">
        <f t="shared" si="44"/>
        <v>-13</v>
      </c>
      <c r="N163" s="226">
        <f>E163*COS(RADIANS($C$2)) + G163*SIN(RADIANS($C$2))</f>
        <v>58.743560685355348</v>
      </c>
      <c r="O163" s="226">
        <f>F163</f>
        <v>0</v>
      </c>
      <c r="P163" s="226">
        <f>-E163*SIN(RADIANS($C$2)) + G163*COS(RADIANS($C$2))</f>
        <v>-49.093727481277824</v>
      </c>
      <c r="Q163" s="227">
        <f t="shared" si="45"/>
        <v>-0.69615075072898647</v>
      </c>
      <c r="R163" s="227">
        <f t="shared" si="46"/>
        <v>-39.886499921634744</v>
      </c>
      <c r="S163" s="236">
        <f t="shared" si="47"/>
        <v>76.557168181692816</v>
      </c>
      <c r="T163" s="236">
        <f t="shared" si="48"/>
        <v>0</v>
      </c>
      <c r="U163" s="236">
        <f t="shared" si="49"/>
        <v>0</v>
      </c>
      <c r="V163" s="237">
        <f t="shared" si="50"/>
        <v>60.557168181692816</v>
      </c>
      <c r="W163" s="237">
        <f t="shared" si="51"/>
        <v>0</v>
      </c>
      <c r="X163" s="235">
        <f t="shared" si="52"/>
        <v>0</v>
      </c>
      <c r="Y163" s="235">
        <f t="shared" si="53"/>
        <v>0</v>
      </c>
      <c r="Z163" s="235">
        <f t="shared" si="54"/>
        <v>60.557168181692816</v>
      </c>
      <c r="AA163" s="238" t="str">
        <f t="shared" si="55"/>
        <v>TRUE</v>
      </c>
      <c r="AB163" s="235">
        <f t="shared" si="56"/>
        <v>6724</v>
      </c>
      <c r="AC163" s="235">
        <f t="shared" si="57"/>
        <v>15129</v>
      </c>
      <c r="AD163" s="236">
        <f t="shared" si="58"/>
        <v>3667.170618185829</v>
      </c>
      <c r="AE163" s="235">
        <f t="shared" si="59"/>
        <v>2.0680990473834546</v>
      </c>
      <c r="AF163" s="235">
        <f t="shared" si="60"/>
        <v>118.49334703009801</v>
      </c>
      <c r="AG163" s="236">
        <f t="shared" si="61"/>
        <v>0.44748488798044628</v>
      </c>
      <c r="AH163" s="235">
        <f t="shared" si="62"/>
        <v>25.638995477163991</v>
      </c>
    </row>
    <row r="164" spans="5:34" x14ac:dyDescent="0.25">
      <c r="E164" s="222">
        <v>31</v>
      </c>
      <c r="F164" s="223">
        <v>0</v>
      </c>
      <c r="G164" s="224">
        <v>68</v>
      </c>
      <c r="H164" s="232">
        <f>R164</f>
        <v>-40.507405230129699</v>
      </c>
      <c r="I164" s="232">
        <f>$C$3 - AF164 - Y164</f>
        <v>-120.9618923963574</v>
      </c>
      <c r="J164" s="232">
        <f>AH164-$C$4</f>
        <v>-48.828871774088995</v>
      </c>
      <c r="K164" s="68">
        <f t="shared" si="42"/>
        <v>-40.507405230129699</v>
      </c>
      <c r="L164" s="68">
        <f t="shared" si="43"/>
        <v>-40</v>
      </c>
      <c r="M164" s="68">
        <f t="shared" si="44"/>
        <v>-13</v>
      </c>
      <c r="N164" s="226">
        <f>E164*COS(RADIANS($C$2)) + G164*SIN(RADIANS($C$2))</f>
        <v>56.82103729347871</v>
      </c>
      <c r="O164" s="226">
        <f>F164</f>
        <v>0</v>
      </c>
      <c r="P164" s="226">
        <f>-E164*SIN(RADIANS($C$2)) + G164*COS(RADIANS($C$2))</f>
        <v>-48.542452769643816</v>
      </c>
      <c r="Q164" s="227">
        <f t="shared" si="45"/>
        <v>-0.70698759270533462</v>
      </c>
      <c r="R164" s="227">
        <f t="shared" si="46"/>
        <v>-40.507405230129699</v>
      </c>
      <c r="S164" s="236">
        <f t="shared" si="47"/>
        <v>74.732857566133504</v>
      </c>
      <c r="T164" s="236">
        <f t="shared" si="48"/>
        <v>0</v>
      </c>
      <c r="U164" s="236">
        <f t="shared" si="49"/>
        <v>0</v>
      </c>
      <c r="V164" s="237">
        <f t="shared" si="50"/>
        <v>58.732857566133504</v>
      </c>
      <c r="W164" s="237">
        <f t="shared" si="51"/>
        <v>0</v>
      </c>
      <c r="X164" s="235">
        <f t="shared" si="52"/>
        <v>0</v>
      </c>
      <c r="Y164" s="235">
        <f t="shared" si="53"/>
        <v>0</v>
      </c>
      <c r="Z164" s="235">
        <f t="shared" si="54"/>
        <v>58.732857566133504</v>
      </c>
      <c r="AA164" s="238" t="str">
        <f t="shared" si="55"/>
        <v>TRUE</v>
      </c>
      <c r="AB164" s="235">
        <f t="shared" si="56"/>
        <v>6724</v>
      </c>
      <c r="AC164" s="235">
        <f t="shared" si="57"/>
        <v>15129</v>
      </c>
      <c r="AD164" s="236">
        <f t="shared" si="58"/>
        <v>3449.5485578837256</v>
      </c>
      <c r="AE164" s="235">
        <f t="shared" si="59"/>
        <v>2.1111832917595303</v>
      </c>
      <c r="AF164" s="235">
        <f t="shared" si="60"/>
        <v>120.9618923963574</v>
      </c>
      <c r="AG164" s="236">
        <f t="shared" si="61"/>
        <v>0.42186577146388271</v>
      </c>
      <c r="AH164" s="235">
        <f t="shared" si="62"/>
        <v>24.171128225911001</v>
      </c>
    </row>
    <row r="165" spans="5:34" x14ac:dyDescent="0.25">
      <c r="E165" s="222">
        <v>31</v>
      </c>
      <c r="F165" s="223">
        <v>0</v>
      </c>
      <c r="G165" s="224">
        <v>68</v>
      </c>
      <c r="H165" s="232">
        <f>R165</f>
        <v>-40.507405230129699</v>
      </c>
      <c r="I165" s="232">
        <f>$C$3 - AF165 - Y165</f>
        <v>-120.9618923963574</v>
      </c>
      <c r="J165" s="232">
        <f>AH165-$C$4</f>
        <v>-48.828871774088995</v>
      </c>
      <c r="K165" s="68">
        <f t="shared" si="42"/>
        <v>-40.507405230129699</v>
      </c>
      <c r="L165" s="68">
        <f t="shared" si="43"/>
        <v>-40</v>
      </c>
      <c r="M165" s="68">
        <f t="shared" si="44"/>
        <v>-13</v>
      </c>
      <c r="N165" s="226">
        <f>E165*COS(RADIANS($C$2)) + G165*SIN(RADIANS($C$2))</f>
        <v>56.82103729347871</v>
      </c>
      <c r="O165" s="226">
        <f>F165</f>
        <v>0</v>
      </c>
      <c r="P165" s="226">
        <f>-E165*SIN(RADIANS($C$2)) + G165*COS(RADIANS($C$2))</f>
        <v>-48.542452769643816</v>
      </c>
      <c r="Q165" s="227">
        <f t="shared" si="45"/>
        <v>-0.70698759270533462</v>
      </c>
      <c r="R165" s="227">
        <f t="shared" si="46"/>
        <v>-40.507405230129699</v>
      </c>
      <c r="S165" s="236">
        <f t="shared" si="47"/>
        <v>74.732857566133504</v>
      </c>
      <c r="T165" s="236">
        <f t="shared" si="48"/>
        <v>0</v>
      </c>
      <c r="U165" s="236">
        <f t="shared" si="49"/>
        <v>0</v>
      </c>
      <c r="V165" s="237">
        <f t="shared" si="50"/>
        <v>58.732857566133504</v>
      </c>
      <c r="W165" s="237">
        <f t="shared" si="51"/>
        <v>0</v>
      </c>
      <c r="X165" s="235">
        <f t="shared" si="52"/>
        <v>0</v>
      </c>
      <c r="Y165" s="235">
        <f t="shared" si="53"/>
        <v>0</v>
      </c>
      <c r="Z165" s="235">
        <f t="shared" si="54"/>
        <v>58.732857566133504</v>
      </c>
      <c r="AA165" s="238" t="str">
        <f t="shared" si="55"/>
        <v>TRUE</v>
      </c>
      <c r="AB165" s="235">
        <f t="shared" si="56"/>
        <v>6724</v>
      </c>
      <c r="AC165" s="235">
        <f t="shared" si="57"/>
        <v>15129</v>
      </c>
      <c r="AD165" s="236">
        <f t="shared" si="58"/>
        <v>3449.5485578837256</v>
      </c>
      <c r="AE165" s="235">
        <f t="shared" si="59"/>
        <v>2.1111832917595303</v>
      </c>
      <c r="AF165" s="235">
        <f t="shared" si="60"/>
        <v>120.9618923963574</v>
      </c>
      <c r="AG165" s="236">
        <f t="shared" si="61"/>
        <v>0.42186577146388271</v>
      </c>
      <c r="AH165" s="235">
        <f t="shared" si="62"/>
        <v>24.171128225911001</v>
      </c>
    </row>
    <row r="166" spans="5:34" x14ac:dyDescent="0.25">
      <c r="E166" s="222">
        <v>31</v>
      </c>
      <c r="F166" s="223">
        <v>2</v>
      </c>
      <c r="G166" s="224">
        <v>70</v>
      </c>
      <c r="H166" s="232">
        <f>R166</f>
        <v>-39.886499921634744</v>
      </c>
      <c r="I166" s="232">
        <f>$C$3 - AF166 - Y166</f>
        <v>-120.34176506062468</v>
      </c>
      <c r="J166" s="232">
        <f>AH166-$C$4</f>
        <v>-47.334759910494853</v>
      </c>
      <c r="K166" s="68">
        <f t="shared" si="42"/>
        <v>-39.886499921634744</v>
      </c>
      <c r="L166" s="68">
        <f t="shared" si="43"/>
        <v>-40</v>
      </c>
      <c r="M166" s="68">
        <f t="shared" si="44"/>
        <v>-13</v>
      </c>
      <c r="N166" s="226">
        <f>E166*COS(RADIANS($C$2)) + G166*SIN(RADIANS($C$2))</f>
        <v>58.743560685355348</v>
      </c>
      <c r="O166" s="226">
        <f>F166</f>
        <v>2</v>
      </c>
      <c r="P166" s="226">
        <f>-E166*SIN(RADIANS($C$2)) + G166*COS(RADIANS($C$2))</f>
        <v>-49.093727481277824</v>
      </c>
      <c r="Q166" s="227">
        <f t="shared" si="45"/>
        <v>-0.69615075072898647</v>
      </c>
      <c r="R166" s="227">
        <f t="shared" si="46"/>
        <v>-39.886499921634744</v>
      </c>
      <c r="S166" s="236">
        <f t="shared" si="47"/>
        <v>76.557168181692816</v>
      </c>
      <c r="T166" s="236">
        <f t="shared" si="48"/>
        <v>2</v>
      </c>
      <c r="U166" s="236">
        <f t="shared" si="49"/>
        <v>0</v>
      </c>
      <c r="V166" s="237">
        <f t="shared" si="50"/>
        <v>60.557168181692816</v>
      </c>
      <c r="W166" s="237">
        <f t="shared" si="51"/>
        <v>2</v>
      </c>
      <c r="X166" s="235">
        <f t="shared" si="52"/>
        <v>3.3014643233474146E-2</v>
      </c>
      <c r="Y166" s="235">
        <f t="shared" si="53"/>
        <v>1.8915997194082099</v>
      </c>
      <c r="Z166" s="235">
        <f t="shared" si="54"/>
        <v>60.590185823991568</v>
      </c>
      <c r="AA166" s="238" t="str">
        <f t="shared" si="55"/>
        <v>TRUE</v>
      </c>
      <c r="AB166" s="235">
        <f t="shared" si="56"/>
        <v>6724</v>
      </c>
      <c r="AC166" s="235">
        <f t="shared" si="57"/>
        <v>15129</v>
      </c>
      <c r="AD166" s="236">
        <f t="shared" si="58"/>
        <v>3671.170618185829</v>
      </c>
      <c r="AE166" s="235">
        <f t="shared" si="59"/>
        <v>2.0673453847359</v>
      </c>
      <c r="AF166" s="235">
        <f t="shared" si="60"/>
        <v>118.45016534121648</v>
      </c>
      <c r="AG166" s="236">
        <f t="shared" si="61"/>
        <v>0.44794294287670899</v>
      </c>
      <c r="AH166" s="235">
        <f t="shared" si="62"/>
        <v>25.665240089505147</v>
      </c>
    </row>
    <row r="167" spans="5:34" x14ac:dyDescent="0.25">
      <c r="E167" s="222">
        <v>32</v>
      </c>
      <c r="F167" s="223">
        <v>5</v>
      </c>
      <c r="G167" s="224">
        <v>72</v>
      </c>
      <c r="H167" s="232">
        <f>R167</f>
        <v>-39.962488974578179</v>
      </c>
      <c r="I167" s="232">
        <f>$C$3 - AF167 - Y167</f>
        <v>-119.9913870292115</v>
      </c>
      <c r="J167" s="232">
        <f>AH167-$C$4</f>
        <v>-45.454054724922628</v>
      </c>
      <c r="K167" s="68">
        <f t="shared" si="42"/>
        <v>-39.962488974578179</v>
      </c>
      <c r="L167" s="68">
        <f t="shared" si="43"/>
        <v>-40</v>
      </c>
      <c r="M167" s="68">
        <f t="shared" si="44"/>
        <v>-13</v>
      </c>
      <c r="N167" s="226">
        <f>E167*COS(RADIANS($C$2)) + G167*SIN(RADIANS($C$2))</f>
        <v>60.390446721414989</v>
      </c>
      <c r="O167" s="226">
        <f>F167</f>
        <v>5</v>
      </c>
      <c r="P167" s="226">
        <f>-E167*SIN(RADIANS($C$2)) + G167*COS(RADIANS($C$2))</f>
        <v>-50.606263888850137</v>
      </c>
      <c r="Q167" s="227">
        <f t="shared" si="45"/>
        <v>-0.69747700989832173</v>
      </c>
      <c r="R167" s="227">
        <f t="shared" si="46"/>
        <v>-39.962488974578179</v>
      </c>
      <c r="S167" s="236">
        <f t="shared" si="47"/>
        <v>78.790862414368831</v>
      </c>
      <c r="T167" s="236">
        <f t="shared" si="48"/>
        <v>5</v>
      </c>
      <c r="U167" s="236">
        <f t="shared" si="49"/>
        <v>0</v>
      </c>
      <c r="V167" s="237">
        <f t="shared" si="50"/>
        <v>62.790862414368831</v>
      </c>
      <c r="W167" s="237">
        <f t="shared" si="51"/>
        <v>5</v>
      </c>
      <c r="X167" s="235">
        <f t="shared" si="52"/>
        <v>7.9461752217571666E-2</v>
      </c>
      <c r="Y167" s="235">
        <f t="shared" si="53"/>
        <v>4.5528230347811665</v>
      </c>
      <c r="Z167" s="235">
        <f t="shared" si="54"/>
        <v>62.989621389084384</v>
      </c>
      <c r="AA167" s="238" t="str">
        <f t="shared" si="55"/>
        <v>TRUE</v>
      </c>
      <c r="AB167" s="235">
        <f t="shared" si="56"/>
        <v>6724</v>
      </c>
      <c r="AC167" s="235">
        <f t="shared" si="57"/>
        <v>15129</v>
      </c>
      <c r="AD167" s="236">
        <f t="shared" si="58"/>
        <v>3967.6924027401969</v>
      </c>
      <c r="AE167" s="235">
        <f t="shared" si="59"/>
        <v>2.0147830254769863</v>
      </c>
      <c r="AF167" s="235">
        <f t="shared" si="60"/>
        <v>115.43856399443033</v>
      </c>
      <c r="AG167" s="236">
        <f t="shared" si="61"/>
        <v>0.48076744062427523</v>
      </c>
      <c r="AH167" s="235">
        <f t="shared" si="62"/>
        <v>27.545945275077372</v>
      </c>
    </row>
    <row r="168" spans="5:34" x14ac:dyDescent="0.25">
      <c r="E168" s="222">
        <v>32</v>
      </c>
      <c r="F168" s="223">
        <v>8</v>
      </c>
      <c r="G168" s="224">
        <v>74</v>
      </c>
      <c r="H168" s="232">
        <f>R168</f>
        <v>-39.385221057213748</v>
      </c>
      <c r="I168" s="232">
        <f>$C$3 - AF168 - Y168</f>
        <v>-120.01221483801886</v>
      </c>
      <c r="J168" s="232">
        <f>AH168-$C$4</f>
        <v>-43.825268148762376</v>
      </c>
      <c r="K168" s="68">
        <f t="shared" si="42"/>
        <v>-39.385221057213748</v>
      </c>
      <c r="L168" s="68">
        <f t="shared" si="43"/>
        <v>-40</v>
      </c>
      <c r="M168" s="68">
        <f t="shared" si="44"/>
        <v>-13</v>
      </c>
      <c r="N168" s="226">
        <f>E168*COS(RADIANS($C$2)) + G168*SIN(RADIANS($C$2))</f>
        <v>62.312970113291627</v>
      </c>
      <c r="O168" s="226">
        <f>F168</f>
        <v>8</v>
      </c>
      <c r="P168" s="226">
        <f>-E168*SIN(RADIANS($C$2)) + G168*COS(RADIANS($C$2))</f>
        <v>-51.157538600484131</v>
      </c>
      <c r="Q168" s="227">
        <f t="shared" si="45"/>
        <v>-0.68740178407418184</v>
      </c>
      <c r="R168" s="227">
        <f t="shared" si="46"/>
        <v>-39.385221057213748</v>
      </c>
      <c r="S168" s="236">
        <f t="shared" si="47"/>
        <v>80.622577482985491</v>
      </c>
      <c r="T168" s="236">
        <f t="shared" si="48"/>
        <v>8</v>
      </c>
      <c r="U168" s="236">
        <f t="shared" si="49"/>
        <v>0</v>
      </c>
      <c r="V168" s="237">
        <f t="shared" si="50"/>
        <v>64.622577482985491</v>
      </c>
      <c r="W168" s="237">
        <f t="shared" si="51"/>
        <v>8</v>
      </c>
      <c r="X168" s="235">
        <f t="shared" si="52"/>
        <v>0.12316908945318179</v>
      </c>
      <c r="Y168" s="235">
        <f t="shared" si="53"/>
        <v>7.0570689921366174</v>
      </c>
      <c r="Z168" s="235">
        <f t="shared" si="54"/>
        <v>65.11587763782704</v>
      </c>
      <c r="AA168" s="238" t="str">
        <f t="shared" si="55"/>
        <v>TRUE</v>
      </c>
      <c r="AB168" s="235">
        <f t="shared" si="56"/>
        <v>6724</v>
      </c>
      <c r="AC168" s="235">
        <f t="shared" si="57"/>
        <v>15129</v>
      </c>
      <c r="AD168" s="236">
        <f t="shared" si="58"/>
        <v>4240.0775205444634</v>
      </c>
      <c r="AE168" s="235">
        <f t="shared" si="59"/>
        <v>1.9714392020810405</v>
      </c>
      <c r="AF168" s="235">
        <f t="shared" si="60"/>
        <v>112.95514584588224</v>
      </c>
      <c r="AG168" s="236">
        <f t="shared" si="61"/>
        <v>0.50919512919055698</v>
      </c>
      <c r="AH168" s="235">
        <f t="shared" si="62"/>
        <v>29.17473185123762</v>
      </c>
    </row>
    <row r="169" spans="5:34" x14ac:dyDescent="0.25">
      <c r="E169" s="222">
        <v>32</v>
      </c>
      <c r="F169" s="223">
        <v>11</v>
      </c>
      <c r="G169" s="224">
        <v>75</v>
      </c>
      <c r="H169" s="232">
        <f>R169</f>
        <v>-39.106326858271565</v>
      </c>
      <c r="I169" s="232">
        <f>$C$3 - AF169 - Y169</f>
        <v>-120.9921971289273</v>
      </c>
      <c r="J169" s="232">
        <f>AH169-$C$4</f>
        <v>-42.81227525229788</v>
      </c>
      <c r="K169" s="68">
        <f t="shared" si="42"/>
        <v>-39.106326858271565</v>
      </c>
      <c r="L169" s="68">
        <f t="shared" si="43"/>
        <v>-40</v>
      </c>
      <c r="M169" s="68">
        <f t="shared" si="44"/>
        <v>-13</v>
      </c>
      <c r="N169" s="226">
        <f>E169*COS(RADIANS($C$2)) + G169*SIN(RADIANS($C$2))</f>
        <v>63.274231809229946</v>
      </c>
      <c r="O169" s="226">
        <f>F169</f>
        <v>11</v>
      </c>
      <c r="P169" s="226">
        <f>-E169*SIN(RADIANS($C$2)) + G169*COS(RADIANS($C$2))</f>
        <v>-51.433175956301135</v>
      </c>
      <c r="Q169" s="227">
        <f t="shared" si="45"/>
        <v>-0.68253416203792872</v>
      </c>
      <c r="R169" s="227">
        <f t="shared" si="46"/>
        <v>-39.106326858271565</v>
      </c>
      <c r="S169" s="236">
        <f t="shared" si="47"/>
        <v>81.541400527584756</v>
      </c>
      <c r="T169" s="236">
        <f t="shared" si="48"/>
        <v>11</v>
      </c>
      <c r="U169" s="236">
        <f t="shared" si="49"/>
        <v>0</v>
      </c>
      <c r="V169" s="237">
        <f t="shared" si="50"/>
        <v>65.541400527584756</v>
      </c>
      <c r="W169" s="237">
        <f t="shared" si="51"/>
        <v>11</v>
      </c>
      <c r="X169" s="235">
        <f t="shared" si="52"/>
        <v>0.16628312660994529</v>
      </c>
      <c r="Y169" s="235">
        <f t="shared" si="53"/>
        <v>9.5273213589893775</v>
      </c>
      <c r="Z169" s="235">
        <f t="shared" si="54"/>
        <v>66.458070865149907</v>
      </c>
      <c r="AA169" s="238" t="str">
        <f t="shared" si="55"/>
        <v>TRUE</v>
      </c>
      <c r="AB169" s="235">
        <f t="shared" si="56"/>
        <v>6724</v>
      </c>
      <c r="AC169" s="235">
        <f t="shared" si="57"/>
        <v>15129</v>
      </c>
      <c r="AD169" s="236">
        <f t="shared" si="58"/>
        <v>4416.6751831172869</v>
      </c>
      <c r="AE169" s="235">
        <f t="shared" si="59"/>
        <v>1.9454290825118661</v>
      </c>
      <c r="AF169" s="235">
        <f t="shared" si="60"/>
        <v>111.46487576993792</v>
      </c>
      <c r="AG169" s="236">
        <f t="shared" si="61"/>
        <v>0.52687519053317655</v>
      </c>
      <c r="AH169" s="235">
        <f t="shared" si="62"/>
        <v>30.187724747702124</v>
      </c>
    </row>
    <row r="170" spans="5:34" x14ac:dyDescent="0.25">
      <c r="E170" s="222">
        <v>32</v>
      </c>
      <c r="F170" s="223">
        <v>16</v>
      </c>
      <c r="G170" s="224">
        <v>79</v>
      </c>
      <c r="H170" s="232">
        <f>R170</f>
        <v>-38.051062719076725</v>
      </c>
      <c r="I170" s="232">
        <f>$C$3 - AF170 - Y170</f>
        <v>-119.74674026171715</v>
      </c>
      <c r="J170" s="232">
        <f>AH170-$C$4</f>
        <v>-39.409402890241914</v>
      </c>
      <c r="K170" s="68">
        <f t="shared" si="42"/>
        <v>-38.051062719076725</v>
      </c>
      <c r="L170" s="68">
        <f t="shared" si="43"/>
        <v>-40</v>
      </c>
      <c r="M170" s="68">
        <f t="shared" si="44"/>
        <v>-13</v>
      </c>
      <c r="N170" s="226">
        <f>E170*COS(RADIANS($C$2)) + G170*SIN(RADIANS($C$2))</f>
        <v>67.119278592983221</v>
      </c>
      <c r="O170" s="226">
        <f>F170</f>
        <v>16</v>
      </c>
      <c r="P170" s="226">
        <f>-E170*SIN(RADIANS($C$2)) + G170*COS(RADIANS($C$2))</f>
        <v>-52.535725379569129</v>
      </c>
      <c r="Q170" s="227">
        <f t="shared" si="45"/>
        <v>-0.66411632833075496</v>
      </c>
      <c r="R170" s="227">
        <f t="shared" si="46"/>
        <v>-38.051062719076725</v>
      </c>
      <c r="S170" s="236">
        <f t="shared" si="47"/>
        <v>85.234969349440135</v>
      </c>
      <c r="T170" s="236">
        <f t="shared" si="48"/>
        <v>16</v>
      </c>
      <c r="U170" s="236">
        <f t="shared" si="49"/>
        <v>0</v>
      </c>
      <c r="V170" s="237">
        <f t="shared" si="50"/>
        <v>69.234969349440135</v>
      </c>
      <c r="W170" s="237">
        <f t="shared" si="51"/>
        <v>16</v>
      </c>
      <c r="X170" s="235">
        <f t="shared" si="52"/>
        <v>0.2271101085463402</v>
      </c>
      <c r="Y170" s="235">
        <f t="shared" si="53"/>
        <v>13.012450704463301</v>
      </c>
      <c r="Z170" s="235">
        <f t="shared" si="54"/>
        <v>71.059700117703244</v>
      </c>
      <c r="AA170" s="238" t="str">
        <f t="shared" si="55"/>
        <v>TRUE</v>
      </c>
      <c r="AB170" s="235">
        <f t="shared" si="56"/>
        <v>6724</v>
      </c>
      <c r="AC170" s="235">
        <f t="shared" si="57"/>
        <v>15129</v>
      </c>
      <c r="AD170" s="236">
        <f t="shared" si="58"/>
        <v>5049.4809808179143</v>
      </c>
      <c r="AE170" s="235">
        <f t="shared" si="59"/>
        <v>1.8628647775510803</v>
      </c>
      <c r="AF170" s="235">
        <f t="shared" si="60"/>
        <v>106.73428955725385</v>
      </c>
      <c r="AG170" s="236">
        <f t="shared" si="61"/>
        <v>0.58626651727616963</v>
      </c>
      <c r="AH170" s="235">
        <f t="shared" si="62"/>
        <v>33.590597109758086</v>
      </c>
    </row>
    <row r="171" spans="5:34" x14ac:dyDescent="0.25">
      <c r="E171" s="222">
        <v>32</v>
      </c>
      <c r="F171" s="223">
        <v>19</v>
      </c>
      <c r="G171" s="224">
        <v>81</v>
      </c>
      <c r="H171" s="232">
        <f>R171</f>
        <v>-37.557079285037709</v>
      </c>
      <c r="I171" s="232">
        <f>$C$3 - AF171 - Y171</f>
        <v>-119.30766089638678</v>
      </c>
      <c r="J171" s="232">
        <f>AH171-$C$4</f>
        <v>-37.576388269779436</v>
      </c>
      <c r="K171" s="68">
        <f t="shared" si="42"/>
        <v>-37.557079285037709</v>
      </c>
      <c r="L171" s="68">
        <f t="shared" si="43"/>
        <v>-40</v>
      </c>
      <c r="M171" s="68">
        <f t="shared" si="44"/>
        <v>-13</v>
      </c>
      <c r="N171" s="226">
        <f>E171*COS(RADIANS($C$2)) + G171*SIN(RADIANS($C$2))</f>
        <v>69.041801984859859</v>
      </c>
      <c r="O171" s="226">
        <f>F171</f>
        <v>19</v>
      </c>
      <c r="P171" s="226">
        <f>-E171*SIN(RADIANS($C$2)) + G171*COS(RADIANS($C$2))</f>
        <v>-53.087000091203123</v>
      </c>
      <c r="Q171" s="227">
        <f t="shared" si="45"/>
        <v>-0.65549469095646595</v>
      </c>
      <c r="R171" s="227">
        <f t="shared" si="46"/>
        <v>-37.557079285037709</v>
      </c>
      <c r="S171" s="236">
        <f t="shared" si="47"/>
        <v>87.091905479212016</v>
      </c>
      <c r="T171" s="236">
        <f t="shared" si="48"/>
        <v>19</v>
      </c>
      <c r="U171" s="236">
        <f t="shared" si="49"/>
        <v>0</v>
      </c>
      <c r="V171" s="237">
        <f t="shared" si="50"/>
        <v>71.091905479212016</v>
      </c>
      <c r="W171" s="237">
        <f t="shared" si="51"/>
        <v>19</v>
      </c>
      <c r="X171" s="235">
        <f t="shared" si="52"/>
        <v>0.26115595431269223</v>
      </c>
      <c r="Y171" s="235">
        <f t="shared" si="53"/>
        <v>14.963133976828615</v>
      </c>
      <c r="Z171" s="235">
        <f t="shared" si="54"/>
        <v>73.587084632190823</v>
      </c>
      <c r="AA171" s="238" t="str">
        <f t="shared" si="55"/>
        <v>TRUE</v>
      </c>
      <c r="AB171" s="235">
        <f t="shared" si="56"/>
        <v>6724</v>
      </c>
      <c r="AC171" s="235">
        <f t="shared" si="57"/>
        <v>15129</v>
      </c>
      <c r="AD171" s="236">
        <f t="shared" si="58"/>
        <v>5415.0590246652146</v>
      </c>
      <c r="AE171" s="235">
        <f t="shared" si="59"/>
        <v>1.8211555511821462</v>
      </c>
      <c r="AF171" s="235">
        <f t="shared" si="60"/>
        <v>104.34452691955816</v>
      </c>
      <c r="AG171" s="236">
        <f t="shared" si="61"/>
        <v>0.61825865764043408</v>
      </c>
      <c r="AH171" s="235">
        <f t="shared" si="62"/>
        <v>35.423611730220564</v>
      </c>
    </row>
    <row r="172" spans="5:34" x14ac:dyDescent="0.25">
      <c r="E172" s="222">
        <v>32</v>
      </c>
      <c r="F172" s="223">
        <v>21</v>
      </c>
      <c r="G172" s="224">
        <v>83</v>
      </c>
      <c r="H172" s="232">
        <f>R172</f>
        <v>-37.083754582380642</v>
      </c>
      <c r="I172" s="232">
        <f>$C$3 - AF172 - Y172</f>
        <v>-118.30770723907375</v>
      </c>
      <c r="J172" s="232">
        <f>AH172-$C$4</f>
        <v>-35.903288827441123</v>
      </c>
      <c r="K172" s="68">
        <f t="shared" si="42"/>
        <v>-37.083754582380642</v>
      </c>
      <c r="L172" s="68">
        <f t="shared" si="43"/>
        <v>-40</v>
      </c>
      <c r="M172" s="68">
        <f t="shared" si="44"/>
        <v>-13</v>
      </c>
      <c r="N172" s="226">
        <f>E172*COS(RADIANS($C$2)) + G172*SIN(RADIANS($C$2))</f>
        <v>70.964325376736497</v>
      </c>
      <c r="O172" s="226">
        <f>F172</f>
        <v>21</v>
      </c>
      <c r="P172" s="226">
        <f>-E172*SIN(RADIANS($C$2)) + G172*COS(RADIANS($C$2))</f>
        <v>-53.638274802837131</v>
      </c>
      <c r="Q172" s="227">
        <f t="shared" si="45"/>
        <v>-0.64723361646407696</v>
      </c>
      <c r="R172" s="227">
        <f t="shared" si="46"/>
        <v>-37.083754582380642</v>
      </c>
      <c r="S172" s="236">
        <f t="shared" si="47"/>
        <v>88.955044826024334</v>
      </c>
      <c r="T172" s="236">
        <f t="shared" si="48"/>
        <v>21</v>
      </c>
      <c r="U172" s="236">
        <f t="shared" si="49"/>
        <v>0</v>
      </c>
      <c r="V172" s="237">
        <f t="shared" si="50"/>
        <v>72.955044826024334</v>
      </c>
      <c r="W172" s="237">
        <f t="shared" si="51"/>
        <v>21</v>
      </c>
      <c r="X172" s="235">
        <f t="shared" si="52"/>
        <v>0.28027168342466541</v>
      </c>
      <c r="Y172" s="235">
        <f t="shared" si="53"/>
        <v>16.058384577260039</v>
      </c>
      <c r="Z172" s="235">
        <f t="shared" si="54"/>
        <v>75.917314003903087</v>
      </c>
      <c r="AA172" s="238" t="str">
        <f t="shared" si="55"/>
        <v>TRUE</v>
      </c>
      <c r="AB172" s="235">
        <f t="shared" si="56"/>
        <v>6724</v>
      </c>
      <c r="AC172" s="235">
        <f t="shared" si="57"/>
        <v>15129</v>
      </c>
      <c r="AD172" s="236">
        <f t="shared" si="58"/>
        <v>5763.4385655672195</v>
      </c>
      <c r="AE172" s="235">
        <f t="shared" si="59"/>
        <v>1.7845873383827016</v>
      </c>
      <c r="AF172" s="235">
        <f t="shared" si="60"/>
        <v>102.24932266181371</v>
      </c>
      <c r="AG172" s="236">
        <f t="shared" si="61"/>
        <v>0.64745975162251868</v>
      </c>
      <c r="AH172" s="235">
        <f t="shared" si="62"/>
        <v>37.096711172558877</v>
      </c>
    </row>
    <row r="173" spans="5:34" x14ac:dyDescent="0.25">
      <c r="E173" s="222">
        <v>32</v>
      </c>
      <c r="F173" s="223">
        <v>24</v>
      </c>
      <c r="G173" s="224">
        <v>85</v>
      </c>
      <c r="H173" s="232">
        <f>R173</f>
        <v>-36.629879946126174</v>
      </c>
      <c r="I173" s="232">
        <f>$C$3 - AF173 - Y173</f>
        <v>-117.75027079763996</v>
      </c>
      <c r="J173" s="232">
        <f>AH173-$C$4</f>
        <v>-34.008033815802698</v>
      </c>
      <c r="K173" s="68">
        <f t="shared" si="42"/>
        <v>-36.629879946126174</v>
      </c>
      <c r="L173" s="68">
        <f t="shared" si="43"/>
        <v>-40</v>
      </c>
      <c r="M173" s="68">
        <f t="shared" si="44"/>
        <v>-13</v>
      </c>
      <c r="N173" s="226">
        <f>E173*COS(RADIANS($C$2)) + G173*SIN(RADIANS($C$2))</f>
        <v>72.886848768613135</v>
      </c>
      <c r="O173" s="226">
        <f>F173</f>
        <v>24</v>
      </c>
      <c r="P173" s="226">
        <f>-E173*SIN(RADIANS($C$2)) + G173*COS(RADIANS($C$2))</f>
        <v>-54.189549514471125</v>
      </c>
      <c r="Q173" s="227">
        <f t="shared" si="45"/>
        <v>-0.6393120096701449</v>
      </c>
      <c r="R173" s="227">
        <f t="shared" si="46"/>
        <v>-36.629879946126174</v>
      </c>
      <c r="S173" s="236">
        <f t="shared" si="47"/>
        <v>90.824005637276315</v>
      </c>
      <c r="T173" s="236">
        <f t="shared" si="48"/>
        <v>24</v>
      </c>
      <c r="U173" s="236">
        <f t="shared" si="49"/>
        <v>0</v>
      </c>
      <c r="V173" s="237">
        <f t="shared" si="50"/>
        <v>74.824005637276315</v>
      </c>
      <c r="W173" s="237">
        <f t="shared" si="51"/>
        <v>24</v>
      </c>
      <c r="X173" s="235">
        <f t="shared" si="52"/>
        <v>0.31038555609433482</v>
      </c>
      <c r="Y173" s="235">
        <f t="shared" si="53"/>
        <v>17.783782386026452</v>
      </c>
      <c r="Z173" s="235">
        <f t="shared" si="54"/>
        <v>78.578825516847459</v>
      </c>
      <c r="AA173" s="238" t="str">
        <f t="shared" si="55"/>
        <v>TRUE</v>
      </c>
      <c r="AB173" s="235">
        <f t="shared" si="56"/>
        <v>6724</v>
      </c>
      <c r="AC173" s="235">
        <f t="shared" si="57"/>
        <v>15129</v>
      </c>
      <c r="AD173" s="236">
        <f t="shared" si="58"/>
        <v>6174.631819607157</v>
      </c>
      <c r="AE173" s="235">
        <f t="shared" si="59"/>
        <v>1.7447443644394118</v>
      </c>
      <c r="AF173" s="235">
        <f t="shared" si="60"/>
        <v>99.966488411613497</v>
      </c>
      <c r="AG173" s="236">
        <f t="shared" si="61"/>
        <v>0.68053819174053265</v>
      </c>
      <c r="AH173" s="235">
        <f t="shared" si="62"/>
        <v>38.991966184197302</v>
      </c>
    </row>
    <row r="174" spans="5:34" x14ac:dyDescent="0.25">
      <c r="E174" s="222">
        <v>32</v>
      </c>
      <c r="F174" s="223">
        <v>26</v>
      </c>
      <c r="G174" s="224">
        <v>87</v>
      </c>
      <c r="H174" s="232">
        <f>R174</f>
        <v>-36.194334245183967</v>
      </c>
      <c r="I174" s="232">
        <f>$C$3 - AF174 - Y174</f>
        <v>-116.71701931942255</v>
      </c>
      <c r="J174" s="232">
        <f>AH174-$C$4</f>
        <v>-32.305506449748414</v>
      </c>
      <c r="K174" s="68">
        <f t="shared" si="42"/>
        <v>-36.194334245183967</v>
      </c>
      <c r="L174" s="68">
        <f t="shared" si="43"/>
        <v>-40</v>
      </c>
      <c r="M174" s="68">
        <f t="shared" si="44"/>
        <v>-13</v>
      </c>
      <c r="N174" s="226">
        <f>E174*COS(RADIANS($C$2)) + G174*SIN(RADIANS($C$2))</f>
        <v>74.809372160489772</v>
      </c>
      <c r="O174" s="226">
        <f>F174</f>
        <v>26</v>
      </c>
      <c r="P174" s="226">
        <f>-E174*SIN(RADIANS($C$2)) + G174*COS(RADIANS($C$2))</f>
        <v>-54.740824226105119</v>
      </c>
      <c r="Q174" s="227">
        <f t="shared" si="45"/>
        <v>-0.63171030314579679</v>
      </c>
      <c r="R174" s="227">
        <f t="shared" si="46"/>
        <v>-36.194334245183967</v>
      </c>
      <c r="S174" s="236">
        <f t="shared" si="47"/>
        <v>92.698435801258256</v>
      </c>
      <c r="T174" s="236">
        <f t="shared" si="48"/>
        <v>26</v>
      </c>
      <c r="U174" s="236">
        <f t="shared" si="49"/>
        <v>0</v>
      </c>
      <c r="V174" s="237">
        <f t="shared" si="50"/>
        <v>76.698435801258256</v>
      </c>
      <c r="W174" s="237">
        <f t="shared" si="51"/>
        <v>26</v>
      </c>
      <c r="X174" s="235">
        <f t="shared" si="52"/>
        <v>0.32683285366073683</v>
      </c>
      <c r="Y174" s="235">
        <f t="shared" si="53"/>
        <v>18.726143120977078</v>
      </c>
      <c r="Z174" s="235">
        <f t="shared" si="54"/>
        <v>80.985492863597088</v>
      </c>
      <c r="AA174" s="238" t="str">
        <f t="shared" si="55"/>
        <v>TRUE</v>
      </c>
      <c r="AB174" s="235">
        <f t="shared" si="56"/>
        <v>6724</v>
      </c>
      <c r="AC174" s="235">
        <f t="shared" si="57"/>
        <v>15129</v>
      </c>
      <c r="AD174" s="236">
        <f t="shared" si="58"/>
        <v>6558.6500543597349</v>
      </c>
      <c r="AE174" s="235">
        <f t="shared" si="59"/>
        <v>1.710263426577018</v>
      </c>
      <c r="AF174" s="235">
        <f t="shared" si="60"/>
        <v>97.990876198445477</v>
      </c>
      <c r="AG174" s="236">
        <f t="shared" si="61"/>
        <v>0.71025289988348672</v>
      </c>
      <c r="AH174" s="235">
        <f t="shared" si="62"/>
        <v>40.694493550251586</v>
      </c>
    </row>
    <row r="175" spans="5:34" x14ac:dyDescent="0.25">
      <c r="E175" s="222">
        <v>32</v>
      </c>
      <c r="F175" s="223">
        <v>28</v>
      </c>
      <c r="G175" s="224">
        <v>89</v>
      </c>
      <c r="H175" s="232">
        <f>R175</f>
        <v>-35.776076602639193</v>
      </c>
      <c r="I175" s="232">
        <f>$C$3 - AF175 - Y175</f>
        <v>-115.68217080970953</v>
      </c>
      <c r="J175" s="232">
        <f>AH175-$C$4</f>
        <v>-30.593156278213272</v>
      </c>
      <c r="K175" s="68">
        <f t="shared" si="42"/>
        <v>-35.776076602639193</v>
      </c>
      <c r="L175" s="68">
        <f t="shared" si="43"/>
        <v>-40</v>
      </c>
      <c r="M175" s="68">
        <f t="shared" si="44"/>
        <v>-13</v>
      </c>
      <c r="N175" s="226">
        <f>E175*COS(RADIANS($C$2)) + G175*SIN(RADIANS($C$2))</f>
        <v>76.73189555236641</v>
      </c>
      <c r="O175" s="226">
        <f>F175</f>
        <v>28</v>
      </c>
      <c r="P175" s="226">
        <f>-E175*SIN(RADIANS($C$2)) + G175*COS(RADIANS($C$2))</f>
        <v>-55.292098937739119</v>
      </c>
      <c r="Q175" s="227">
        <f t="shared" si="45"/>
        <v>-0.62441033016176095</v>
      </c>
      <c r="R175" s="227">
        <f t="shared" si="46"/>
        <v>-35.776076602639193</v>
      </c>
      <c r="S175" s="236">
        <f t="shared" si="47"/>
        <v>94.578010129204984</v>
      </c>
      <c r="T175" s="236">
        <f t="shared" si="48"/>
        <v>28</v>
      </c>
      <c r="U175" s="236">
        <f t="shared" si="49"/>
        <v>0</v>
      </c>
      <c r="V175" s="237">
        <f t="shared" si="50"/>
        <v>78.578010129204984</v>
      </c>
      <c r="W175" s="237">
        <f t="shared" si="51"/>
        <v>28</v>
      </c>
      <c r="X175" s="235">
        <f t="shared" si="52"/>
        <v>0.34230621109786902</v>
      </c>
      <c r="Y175" s="235">
        <f t="shared" si="53"/>
        <v>19.612701197022115</v>
      </c>
      <c r="Z175" s="235">
        <f t="shared" si="54"/>
        <v>83.417646070033896</v>
      </c>
      <c r="AA175" s="238" t="str">
        <f t="shared" si="55"/>
        <v>TRUE</v>
      </c>
      <c r="AB175" s="235">
        <f t="shared" si="56"/>
        <v>6724</v>
      </c>
      <c r="AC175" s="235">
        <f t="shared" si="57"/>
        <v>15129</v>
      </c>
      <c r="AD175" s="236">
        <f t="shared" si="58"/>
        <v>6958.5036758654414</v>
      </c>
      <c r="AE175" s="235">
        <f t="shared" si="59"/>
        <v>1.6767285553860369</v>
      </c>
      <c r="AF175" s="235">
        <f t="shared" si="60"/>
        <v>96.069469612687413</v>
      </c>
      <c r="AG175" s="236">
        <f t="shared" si="61"/>
        <v>0.74013904832386457</v>
      </c>
      <c r="AH175" s="235">
        <f t="shared" si="62"/>
        <v>42.406843721786728</v>
      </c>
    </row>
    <row r="176" spans="5:34" x14ac:dyDescent="0.25">
      <c r="E176" s="222">
        <v>32</v>
      </c>
      <c r="F176" s="223">
        <v>30</v>
      </c>
      <c r="G176" s="224">
        <v>90</v>
      </c>
      <c r="H176" s="232">
        <f>R176</f>
        <v>-35.573125830410191</v>
      </c>
      <c r="I176" s="232">
        <f>$C$3 - AF176 - Y176</f>
        <v>-115.53283009378666</v>
      </c>
      <c r="J176" s="232">
        <f>AH176-$C$4</f>
        <v>-29.489175282039845</v>
      </c>
      <c r="K176" s="68">
        <f t="shared" si="42"/>
        <v>-35.573125830410191</v>
      </c>
      <c r="L176" s="68">
        <f t="shared" si="43"/>
        <v>-40</v>
      </c>
      <c r="M176" s="68">
        <f t="shared" si="44"/>
        <v>-13</v>
      </c>
      <c r="N176" s="226">
        <f>E176*COS(RADIANS($C$2)) + G176*SIN(RADIANS($C$2))</f>
        <v>77.693157248304729</v>
      </c>
      <c r="O176" s="226">
        <f>F176</f>
        <v>30</v>
      </c>
      <c r="P176" s="226">
        <f>-E176*SIN(RADIANS($C$2)) + G176*COS(RADIANS($C$2))</f>
        <v>-55.567736293556123</v>
      </c>
      <c r="Q176" s="227">
        <f t="shared" si="45"/>
        <v>-0.62086817096689983</v>
      </c>
      <c r="R176" s="227">
        <f t="shared" si="46"/>
        <v>-35.573125830410191</v>
      </c>
      <c r="S176" s="236">
        <f t="shared" si="47"/>
        <v>95.519631490076421</v>
      </c>
      <c r="T176" s="236">
        <f t="shared" si="48"/>
        <v>30</v>
      </c>
      <c r="U176" s="236">
        <f t="shared" si="49"/>
        <v>0</v>
      </c>
      <c r="V176" s="237">
        <f t="shared" si="50"/>
        <v>79.519631490076421</v>
      </c>
      <c r="W176" s="237">
        <f t="shared" si="51"/>
        <v>30</v>
      </c>
      <c r="X176" s="235">
        <f t="shared" si="52"/>
        <v>0.36075523219699573</v>
      </c>
      <c r="Y176" s="235">
        <f t="shared" si="53"/>
        <v>20.669752242149883</v>
      </c>
      <c r="Z176" s="235">
        <f t="shared" si="54"/>
        <v>84.990421768088396</v>
      </c>
      <c r="AA176" s="238" t="str">
        <f t="shared" si="55"/>
        <v>TRUE</v>
      </c>
      <c r="AB176" s="235">
        <f t="shared" si="56"/>
        <v>6724</v>
      </c>
      <c r="AC176" s="235">
        <f t="shared" si="57"/>
        <v>15129</v>
      </c>
      <c r="AD176" s="236">
        <f t="shared" si="58"/>
        <v>7223.3717923175536</v>
      </c>
      <c r="AE176" s="235">
        <f t="shared" si="59"/>
        <v>1.6556730470867707</v>
      </c>
      <c r="AF176" s="235">
        <f t="shared" si="60"/>
        <v>94.863077851636774</v>
      </c>
      <c r="AG176" s="236">
        <f t="shared" si="61"/>
        <v>0.75940715158653782</v>
      </c>
      <c r="AH176" s="235">
        <f t="shared" si="62"/>
        <v>43.510824717960155</v>
      </c>
    </row>
    <row r="177" spans="5:34" x14ac:dyDescent="0.25">
      <c r="E177" s="222">
        <v>32</v>
      </c>
      <c r="F177" s="223">
        <v>32</v>
      </c>
      <c r="G177" s="224">
        <v>92</v>
      </c>
      <c r="H177" s="232">
        <f>R177</f>
        <v>-35.17900802581071</v>
      </c>
      <c r="I177" s="232">
        <f>$C$3 - AF177 - Y177</f>
        <v>-114.47223666720797</v>
      </c>
      <c r="J177" s="232">
        <f>AH177-$C$4</f>
        <v>-27.752474393117581</v>
      </c>
      <c r="K177" s="68">
        <f t="shared" si="42"/>
        <v>-35.17900802581071</v>
      </c>
      <c r="L177" s="68">
        <f t="shared" si="43"/>
        <v>-40</v>
      </c>
      <c r="M177" s="68">
        <f t="shared" si="44"/>
        <v>-13</v>
      </c>
      <c r="N177" s="226">
        <f>E177*COS(RADIANS($C$2)) + G177*SIN(RADIANS($C$2))</f>
        <v>79.615680640181367</v>
      </c>
      <c r="O177" s="226">
        <f>F177</f>
        <v>32</v>
      </c>
      <c r="P177" s="226">
        <f>-E177*SIN(RADIANS($C$2)) + G177*COS(RADIANS($C$2))</f>
        <v>-56.119011005190117</v>
      </c>
      <c r="Q177" s="227">
        <f t="shared" si="45"/>
        <v>-0.61398951763590726</v>
      </c>
      <c r="R177" s="227">
        <f t="shared" si="46"/>
        <v>-35.17900802581071</v>
      </c>
      <c r="S177" s="236">
        <f t="shared" si="47"/>
        <v>97.406365295087355</v>
      </c>
      <c r="T177" s="236">
        <f t="shared" si="48"/>
        <v>32</v>
      </c>
      <c r="U177" s="236">
        <f t="shared" si="49"/>
        <v>0</v>
      </c>
      <c r="V177" s="237">
        <f t="shared" si="50"/>
        <v>81.406365295087355</v>
      </c>
      <c r="W177" s="237">
        <f t="shared" si="51"/>
        <v>32</v>
      </c>
      <c r="X177" s="235">
        <f t="shared" si="52"/>
        <v>0.37453502443347286</v>
      </c>
      <c r="Y177" s="235">
        <f t="shared" si="53"/>
        <v>21.45927617986716</v>
      </c>
      <c r="Z177" s="235">
        <f t="shared" si="54"/>
        <v>87.469973765614014</v>
      </c>
      <c r="AA177" s="238" t="str">
        <f t="shared" si="55"/>
        <v>TRUE</v>
      </c>
      <c r="AB177" s="235">
        <f t="shared" si="56"/>
        <v>6724</v>
      </c>
      <c r="AC177" s="235">
        <f t="shared" si="57"/>
        <v>15129</v>
      </c>
      <c r="AD177" s="236">
        <f t="shared" si="58"/>
        <v>7650.9963105572042</v>
      </c>
      <c r="AE177" s="235">
        <f t="shared" si="59"/>
        <v>1.6233824075314867</v>
      </c>
      <c r="AF177" s="235">
        <f t="shared" si="60"/>
        <v>93.012960487340806</v>
      </c>
      <c r="AG177" s="236">
        <f t="shared" si="61"/>
        <v>0.78971830022054368</v>
      </c>
      <c r="AH177" s="235">
        <f t="shared" si="62"/>
        <v>45.247525606882419</v>
      </c>
    </row>
    <row r="178" spans="5:34" x14ac:dyDescent="0.25">
      <c r="E178" s="222">
        <v>32</v>
      </c>
      <c r="F178" s="223">
        <v>34</v>
      </c>
      <c r="G178" s="224">
        <v>94</v>
      </c>
      <c r="H178" s="232">
        <f>R178</f>
        <v>-34.79988515865265</v>
      </c>
      <c r="I178" s="232">
        <f>$C$3 - AF178 - Y178</f>
        <v>-113.40996160392997</v>
      </c>
      <c r="J178" s="232">
        <f>AH178-$C$4</f>
        <v>-26.004855316704607</v>
      </c>
      <c r="K178" s="68">
        <f t="shared" si="42"/>
        <v>-34.79988515865265</v>
      </c>
      <c r="L178" s="68">
        <f t="shared" si="43"/>
        <v>-40</v>
      </c>
      <c r="M178" s="68">
        <f t="shared" si="44"/>
        <v>-13</v>
      </c>
      <c r="N178" s="226">
        <f>E178*COS(RADIANS($C$2)) + G178*SIN(RADIANS($C$2))</f>
        <v>81.538204032058005</v>
      </c>
      <c r="O178" s="226">
        <f>F178</f>
        <v>34</v>
      </c>
      <c r="P178" s="226">
        <f>-E178*SIN(RADIANS($C$2)) + G178*COS(RADIANS($C$2))</f>
        <v>-56.670285716824111</v>
      </c>
      <c r="Q178" s="227">
        <f t="shared" si="45"/>
        <v>-0.60737257533439792</v>
      </c>
      <c r="R178" s="227">
        <f t="shared" si="46"/>
        <v>-34.79988515865265</v>
      </c>
      <c r="S178" s="236">
        <f t="shared" si="47"/>
        <v>99.297532698451278</v>
      </c>
      <c r="T178" s="236">
        <f t="shared" si="48"/>
        <v>34</v>
      </c>
      <c r="U178" s="236">
        <f t="shared" si="49"/>
        <v>0</v>
      </c>
      <c r="V178" s="237">
        <f t="shared" si="50"/>
        <v>83.297532698451278</v>
      </c>
      <c r="W178" s="237">
        <f t="shared" si="51"/>
        <v>34</v>
      </c>
      <c r="X178" s="235">
        <f t="shared" si="52"/>
        <v>0.38753416915551914</v>
      </c>
      <c r="Y178" s="235">
        <f t="shared" si="53"/>
        <v>22.204072309720171</v>
      </c>
      <c r="Z178" s="235">
        <f t="shared" si="54"/>
        <v>89.969322291821001</v>
      </c>
      <c r="AA178" s="238" t="str">
        <f t="shared" si="55"/>
        <v>TRUE</v>
      </c>
      <c r="AB178" s="235">
        <f t="shared" si="56"/>
        <v>6724</v>
      </c>
      <c r="AC178" s="235">
        <f t="shared" si="57"/>
        <v>15129</v>
      </c>
      <c r="AD178" s="236">
        <f t="shared" si="58"/>
        <v>8094.4789536495591</v>
      </c>
      <c r="AE178" s="235">
        <f t="shared" si="59"/>
        <v>1.5918430653934081</v>
      </c>
      <c r="AF178" s="235">
        <f t="shared" si="60"/>
        <v>91.205889294209797</v>
      </c>
      <c r="AG178" s="236">
        <f t="shared" si="61"/>
        <v>0.82022000717461241</v>
      </c>
      <c r="AH178" s="235">
        <f t="shared" si="62"/>
        <v>46.995144683295393</v>
      </c>
    </row>
  </sheetData>
  <mergeCells count="19">
    <mergeCell ref="E17:G17"/>
    <mergeCell ref="H17:J17"/>
    <mergeCell ref="K17:M17"/>
    <mergeCell ref="X18:Y18"/>
    <mergeCell ref="AE18:AF18"/>
    <mergeCell ref="AG18:AH18"/>
    <mergeCell ref="N17:P17"/>
    <mergeCell ref="Q17:R17"/>
    <mergeCell ref="S17:U17"/>
    <mergeCell ref="V17:W17"/>
    <mergeCell ref="X17:AH17"/>
    <mergeCell ref="E7:F7"/>
    <mergeCell ref="L7:M7"/>
    <mergeCell ref="N7:O7"/>
    <mergeCell ref="E2:G2"/>
    <mergeCell ref="H2:I2"/>
    <mergeCell ref="J2:L2"/>
    <mergeCell ref="M2:N2"/>
    <mergeCell ref="E6:O6"/>
  </mergeCells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52"/>
  <sheetViews>
    <sheetView zoomScale="85" zoomScaleNormal="85" workbookViewId="0">
      <selection activeCell="D4" sqref="D4"/>
    </sheetView>
  </sheetViews>
  <sheetFormatPr defaultColWidth="11.5703125" defaultRowHeight="15" x14ac:dyDescent="0.25"/>
  <cols>
    <col min="1" max="1" width="3" customWidth="1"/>
    <col min="2" max="20" width="11.7109375" customWidth="1"/>
    <col min="21" max="21" width="1.85546875" customWidth="1"/>
  </cols>
  <sheetData>
    <row r="1" spans="1:28" ht="15.75" thickBot="1" x14ac:dyDescent="0.3">
      <c r="A1" s="49">
        <v>0</v>
      </c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</row>
    <row r="2" spans="1:28" ht="15.75" thickBot="1" x14ac:dyDescent="0.3">
      <c r="B2" s="175" t="s">
        <v>76</v>
      </c>
      <c r="C2" s="176"/>
      <c r="D2" s="179">
        <v>1E-4</v>
      </c>
      <c r="E2" s="180"/>
      <c r="G2" s="102"/>
      <c r="H2" s="102"/>
      <c r="I2" s="51"/>
      <c r="J2" s="51"/>
      <c r="O2" s="55"/>
      <c r="P2" s="55"/>
      <c r="Q2" s="55"/>
      <c r="R2" s="55"/>
      <c r="S2" s="55"/>
      <c r="T2" s="55"/>
      <c r="U2" s="55"/>
      <c r="V2" s="138" t="s">
        <v>73</v>
      </c>
      <c r="W2" s="139"/>
      <c r="X2" s="78" t="s">
        <v>74</v>
      </c>
      <c r="Y2" s="69">
        <v>6000</v>
      </c>
      <c r="AA2" s="55"/>
      <c r="AB2" s="55"/>
    </row>
    <row r="3" spans="1:28" ht="15.75" thickBot="1" x14ac:dyDescent="0.3">
      <c r="B3" s="177" t="s">
        <v>75</v>
      </c>
      <c r="C3" s="178"/>
      <c r="D3" s="181">
        <v>100</v>
      </c>
      <c r="E3" s="182"/>
      <c r="G3" s="72"/>
      <c r="H3" s="72"/>
      <c r="O3" s="55"/>
      <c r="P3" s="55"/>
      <c r="Q3" s="55"/>
      <c r="R3" s="55"/>
      <c r="S3" s="55"/>
      <c r="T3" s="55"/>
      <c r="U3" s="55"/>
      <c r="V3" s="75">
        <v>-1000</v>
      </c>
      <c r="W3" s="76">
        <f>EXP((1000 - ABS(V3)) / $Y$3) * (V3 / ABS(V3))</f>
        <v>-1</v>
      </c>
      <c r="X3" s="79" t="s">
        <v>69</v>
      </c>
      <c r="Y3" s="77">
        <f>V43 / LN(Y2)</f>
        <v>114.94894013551004</v>
      </c>
      <c r="Z3" s="55"/>
      <c r="AA3" s="55"/>
      <c r="AB3" s="55"/>
    </row>
    <row r="4" spans="1:28" ht="15.75" thickBot="1" x14ac:dyDescent="0.3">
      <c r="O4" s="55"/>
      <c r="P4" s="55"/>
      <c r="Q4" s="55"/>
      <c r="R4" s="55"/>
      <c r="S4" s="55"/>
      <c r="T4" s="55"/>
      <c r="U4" s="55"/>
      <c r="V4" s="73">
        <v>-950</v>
      </c>
      <c r="W4" s="76">
        <f t="shared" ref="W4:W43" si="0">EXP((1000 - ABS(V4)) / $Y$3) * (V4 / ABS(V4))</f>
        <v>-1.5449255746015966</v>
      </c>
      <c r="X4" s="55"/>
      <c r="Y4" s="55"/>
      <c r="Z4" s="55"/>
      <c r="AA4" s="55"/>
      <c r="AB4" s="55"/>
    </row>
    <row r="5" spans="1:28" ht="15.75" thickBot="1" x14ac:dyDescent="0.3">
      <c r="B5" s="187" t="s">
        <v>44</v>
      </c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9"/>
      <c r="N5" s="51"/>
      <c r="O5" s="48"/>
      <c r="P5" s="48"/>
      <c r="Q5" s="48"/>
      <c r="R5" s="48"/>
      <c r="S5" s="55"/>
      <c r="T5" s="55"/>
      <c r="U5" s="55"/>
      <c r="V5" s="73">
        <v>-900</v>
      </c>
      <c r="W5" s="76">
        <f t="shared" si="0"/>
        <v>-2.3867950310580737</v>
      </c>
      <c r="X5" s="55"/>
      <c r="Y5" s="55"/>
      <c r="Z5" s="55"/>
      <c r="AA5" s="55"/>
      <c r="AB5" s="55"/>
    </row>
    <row r="6" spans="1:28" x14ac:dyDescent="0.25">
      <c r="B6" s="158" t="s">
        <v>38</v>
      </c>
      <c r="C6" s="159"/>
      <c r="D6" s="158" t="s">
        <v>39</v>
      </c>
      <c r="E6" s="159"/>
      <c r="F6" s="158" t="s">
        <v>40</v>
      </c>
      <c r="G6" s="159"/>
      <c r="H6" s="158" t="s">
        <v>41</v>
      </c>
      <c r="I6" s="159"/>
      <c r="J6" s="158" t="s">
        <v>42</v>
      </c>
      <c r="K6" s="159"/>
      <c r="L6" s="158" t="s">
        <v>43</v>
      </c>
      <c r="M6" s="159"/>
      <c r="O6" s="55"/>
      <c r="P6" s="55"/>
      <c r="Q6" s="55"/>
      <c r="R6" s="55"/>
      <c r="S6" s="55"/>
      <c r="T6" s="55"/>
      <c r="U6" s="55"/>
      <c r="V6" s="73">
        <v>-850</v>
      </c>
      <c r="W6" s="76">
        <f t="shared" si="0"/>
        <v>-3.6874206848136306</v>
      </c>
      <c r="X6" s="55"/>
      <c r="Y6" s="55"/>
      <c r="Z6" s="55"/>
      <c r="AA6" s="55"/>
      <c r="AB6" s="55"/>
    </row>
    <row r="7" spans="1:28" x14ac:dyDescent="0.25">
      <c r="B7" s="52" t="s">
        <v>33</v>
      </c>
      <c r="C7" s="46">
        <v>34</v>
      </c>
      <c r="D7" s="52" t="s">
        <v>33</v>
      </c>
      <c r="E7" s="46">
        <v>116</v>
      </c>
      <c r="F7" s="52" t="s">
        <v>33</v>
      </c>
      <c r="G7" s="46">
        <v>82</v>
      </c>
      <c r="H7" s="52" t="s">
        <v>33</v>
      </c>
      <c r="I7" s="46">
        <v>-82</v>
      </c>
      <c r="J7" s="52" t="s">
        <v>33</v>
      </c>
      <c r="K7" s="46">
        <v>-116</v>
      </c>
      <c r="L7" s="52" t="s">
        <v>33</v>
      </c>
      <c r="M7" s="46">
        <v>-34</v>
      </c>
      <c r="O7" s="55"/>
      <c r="P7" s="45"/>
      <c r="Q7" s="54"/>
      <c r="R7" s="45"/>
      <c r="S7" s="54"/>
      <c r="T7" s="45"/>
      <c r="U7" s="54"/>
      <c r="V7" s="73">
        <v>-800</v>
      </c>
      <c r="W7" s="76">
        <f t="shared" si="0"/>
        <v>-5.6967905202835105</v>
      </c>
      <c r="X7" s="45"/>
      <c r="Y7" s="54"/>
      <c r="Z7" s="45"/>
      <c r="AA7" s="54"/>
      <c r="AB7" s="55"/>
    </row>
    <row r="8" spans="1:28" x14ac:dyDescent="0.25">
      <c r="B8" s="52" t="s">
        <v>34</v>
      </c>
      <c r="C8" s="46">
        <v>0</v>
      </c>
      <c r="D8" s="52" t="s">
        <v>34</v>
      </c>
      <c r="E8" s="46">
        <v>0</v>
      </c>
      <c r="F8" s="52" t="s">
        <v>34</v>
      </c>
      <c r="G8" s="46">
        <v>0</v>
      </c>
      <c r="H8" s="52" t="s">
        <v>34</v>
      </c>
      <c r="I8" s="46">
        <v>0</v>
      </c>
      <c r="J8" s="52" t="s">
        <v>34</v>
      </c>
      <c r="K8" s="46">
        <v>0</v>
      </c>
      <c r="L8" s="52" t="s">
        <v>34</v>
      </c>
      <c r="M8" s="46">
        <v>0</v>
      </c>
      <c r="O8" s="55"/>
      <c r="P8" s="45"/>
      <c r="Q8" s="54"/>
      <c r="R8" s="45"/>
      <c r="S8" s="54"/>
      <c r="T8" s="45"/>
      <c r="U8" s="54"/>
      <c r="V8" s="73">
        <v>-750</v>
      </c>
      <c r="W8" s="76">
        <f t="shared" si="0"/>
        <v>-8.8011173679339318</v>
      </c>
      <c r="X8" s="45"/>
      <c r="Y8" s="54"/>
      <c r="Z8" s="45"/>
      <c r="AA8" s="54"/>
      <c r="AB8" s="55"/>
    </row>
    <row r="9" spans="1:28" ht="15.75" thickBot="1" x14ac:dyDescent="0.3">
      <c r="B9" s="53" t="s">
        <v>36</v>
      </c>
      <c r="C9" s="47">
        <v>115</v>
      </c>
      <c r="D9" s="53" t="s">
        <v>36</v>
      </c>
      <c r="E9" s="47">
        <v>28</v>
      </c>
      <c r="F9" s="53" t="s">
        <v>36</v>
      </c>
      <c r="G9" s="47">
        <v>-86</v>
      </c>
      <c r="H9" s="53" t="s">
        <v>36</v>
      </c>
      <c r="I9" s="47">
        <v>86</v>
      </c>
      <c r="J9" s="53" t="s">
        <v>36</v>
      </c>
      <c r="K9" s="47">
        <v>-28</v>
      </c>
      <c r="L9" s="53" t="s">
        <v>36</v>
      </c>
      <c r="M9" s="47">
        <v>-115</v>
      </c>
      <c r="O9" s="55"/>
      <c r="P9" s="45"/>
      <c r="Q9" s="54"/>
      <c r="R9" s="45"/>
      <c r="S9" s="54"/>
      <c r="T9" s="45"/>
      <c r="U9" s="54"/>
      <c r="V9" s="73">
        <v>-700</v>
      </c>
      <c r="W9" s="76">
        <f t="shared" si="0"/>
        <v>-13.597071306791424</v>
      </c>
      <c r="X9" s="45"/>
      <c r="Y9" s="54"/>
      <c r="Z9" s="45"/>
      <c r="AA9" s="54"/>
      <c r="AB9" s="55"/>
    </row>
    <row r="10" spans="1:28" ht="15.75" thickBot="1" x14ac:dyDescent="0.3">
      <c r="G10" s="49"/>
      <c r="O10" s="55"/>
      <c r="P10" s="55"/>
      <c r="Q10" s="55"/>
      <c r="R10" s="55"/>
      <c r="S10" s="55"/>
      <c r="T10" s="55"/>
      <c r="U10" s="55"/>
      <c r="V10" s="73">
        <v>-650</v>
      </c>
      <c r="W10" s="76">
        <f t="shared" si="0"/>
        <v>-21.006463201543625</v>
      </c>
      <c r="X10" s="55"/>
      <c r="Y10" s="55"/>
      <c r="Z10" s="55"/>
      <c r="AA10" s="55"/>
      <c r="AB10" s="55"/>
    </row>
    <row r="11" spans="1:28" ht="15.75" thickBot="1" x14ac:dyDescent="0.3">
      <c r="B11" s="190" t="s">
        <v>37</v>
      </c>
      <c r="C11" s="191"/>
      <c r="D11" s="191"/>
      <c r="E11" s="191"/>
      <c r="F11" s="191"/>
      <c r="G11" s="191"/>
      <c r="H11" s="191"/>
      <c r="I11" s="191"/>
      <c r="J11" s="191"/>
      <c r="K11" s="191"/>
      <c r="L11" s="191"/>
      <c r="M11" s="192"/>
      <c r="O11" s="55"/>
      <c r="P11" s="55"/>
      <c r="Q11" s="55"/>
      <c r="R11" s="55"/>
      <c r="S11" s="55"/>
      <c r="T11" s="55"/>
      <c r="U11" s="55"/>
      <c r="V11" s="73">
        <v>-600</v>
      </c>
      <c r="W11" s="76">
        <f t="shared" si="0"/>
        <v>-32.453422231992072</v>
      </c>
      <c r="X11" s="55"/>
      <c r="Y11" s="55"/>
      <c r="Z11" s="55"/>
      <c r="AA11" s="55"/>
      <c r="AB11" s="55"/>
    </row>
    <row r="12" spans="1:28" x14ac:dyDescent="0.25">
      <c r="B12" s="183" t="s">
        <v>70</v>
      </c>
      <c r="C12" s="184"/>
      <c r="D12" s="184"/>
      <c r="E12" s="185">
        <f>EXP((1000 - ABS(D2)) / $Y$3) * (D2 / ABS(D2))</f>
        <v>5999.9947802934194</v>
      </c>
      <c r="F12" s="186"/>
      <c r="G12" s="193" t="s">
        <v>77</v>
      </c>
      <c r="H12" s="194"/>
      <c r="I12" s="194"/>
      <c r="J12" s="194"/>
      <c r="K12" s="194"/>
      <c r="L12" s="194"/>
      <c r="M12" s="195"/>
      <c r="O12" s="55"/>
      <c r="P12" s="55"/>
      <c r="Q12" s="55"/>
      <c r="R12" s="55"/>
      <c r="S12" s="55"/>
      <c r="T12" s="55"/>
      <c r="U12" s="55"/>
      <c r="V12" s="73">
        <v>-550</v>
      </c>
      <c r="W12" s="76">
        <f t="shared" si="0"/>
        <v>-50.138121989548587</v>
      </c>
      <c r="X12" s="55"/>
      <c r="Y12" s="55"/>
      <c r="Z12" s="55"/>
      <c r="AA12" s="55"/>
      <c r="AB12" s="55"/>
    </row>
    <row r="13" spans="1:28" ht="15" customHeight="1" x14ac:dyDescent="0.25">
      <c r="B13" s="136" t="s">
        <v>59</v>
      </c>
      <c r="C13" s="137"/>
      <c r="D13" s="137"/>
      <c r="E13" s="171">
        <f>SQRT((E12-C7)^2+C9^2)</f>
        <v>5967.1030423890224</v>
      </c>
      <c r="F13" s="172"/>
      <c r="G13" s="168" t="s">
        <v>66</v>
      </c>
      <c r="H13" s="169"/>
      <c r="I13" s="169"/>
      <c r="J13" s="169"/>
      <c r="K13" s="169"/>
      <c r="L13" s="169"/>
      <c r="M13" s="170"/>
      <c r="O13" s="55"/>
      <c r="P13" s="55"/>
      <c r="Q13" s="55"/>
      <c r="R13" s="55"/>
      <c r="S13" s="55"/>
      <c r="T13" s="55"/>
      <c r="U13" s="55"/>
      <c r="V13" s="73">
        <v>-500</v>
      </c>
      <c r="W13" s="76">
        <f t="shared" si="0"/>
        <v>-77.459666924148308</v>
      </c>
      <c r="X13" s="55"/>
      <c r="Y13" s="55"/>
      <c r="Z13" s="55"/>
      <c r="AA13" s="55"/>
      <c r="AB13" s="55"/>
    </row>
    <row r="14" spans="1:28" x14ac:dyDescent="0.25">
      <c r="B14" s="136" t="s">
        <v>60</v>
      </c>
      <c r="C14" s="137"/>
      <c r="D14" s="137"/>
      <c r="E14" s="171">
        <f>SQRT((E12-E7)^2+E9^2)</f>
        <v>5884.0614013213872</v>
      </c>
      <c r="F14" s="172"/>
      <c r="G14" s="168"/>
      <c r="H14" s="169"/>
      <c r="I14" s="169"/>
      <c r="J14" s="169"/>
      <c r="K14" s="169"/>
      <c r="L14" s="169"/>
      <c r="M14" s="170"/>
      <c r="O14" s="55"/>
      <c r="P14" s="55"/>
      <c r="Q14" s="55"/>
      <c r="R14" s="55"/>
      <c r="S14" s="55"/>
      <c r="T14" s="55"/>
      <c r="U14" s="55"/>
      <c r="V14" s="73">
        <v>-450</v>
      </c>
      <c r="W14" s="76">
        <f t="shared" si="0"/>
        <v>-119.66942043123808</v>
      </c>
      <c r="X14" s="55"/>
      <c r="Y14" s="55"/>
      <c r="Z14" s="55"/>
      <c r="AA14" s="55"/>
      <c r="AB14" s="55"/>
    </row>
    <row r="15" spans="1:28" x14ac:dyDescent="0.25">
      <c r="B15" s="136" t="s">
        <v>61</v>
      </c>
      <c r="C15" s="137"/>
      <c r="D15" s="137"/>
      <c r="E15" s="171">
        <f>SQRT((E12-G7)^2+G9^2)</f>
        <v>5918.6196211262095</v>
      </c>
      <c r="F15" s="172"/>
      <c r="G15" s="168"/>
      <c r="H15" s="169"/>
      <c r="I15" s="169"/>
      <c r="J15" s="169"/>
      <c r="K15" s="169"/>
      <c r="L15" s="169"/>
      <c r="M15" s="170"/>
      <c r="O15" s="55"/>
      <c r="P15" s="55"/>
      <c r="Q15" s="55"/>
      <c r="R15" s="55"/>
      <c r="S15" s="55"/>
      <c r="T15" s="55"/>
      <c r="U15" s="55"/>
      <c r="V15" s="73">
        <v>-400</v>
      </c>
      <c r="W15" s="76">
        <f t="shared" si="0"/>
        <v>-184.88034812197066</v>
      </c>
      <c r="X15" s="55"/>
      <c r="Y15" s="55"/>
      <c r="Z15" s="55"/>
      <c r="AA15" s="55"/>
      <c r="AB15" s="55"/>
    </row>
    <row r="16" spans="1:28" x14ac:dyDescent="0.25">
      <c r="B16" s="136" t="s">
        <v>62</v>
      </c>
      <c r="C16" s="137"/>
      <c r="D16" s="137"/>
      <c r="E16" s="171">
        <f>SQRT((E12-I7)^2+I9^2)</f>
        <v>6082.6027741022508</v>
      </c>
      <c r="F16" s="172"/>
      <c r="G16" s="168"/>
      <c r="H16" s="169"/>
      <c r="I16" s="169"/>
      <c r="J16" s="169"/>
      <c r="K16" s="169"/>
      <c r="L16" s="169"/>
      <c r="M16" s="170"/>
      <c r="V16" s="73">
        <v>-350</v>
      </c>
      <c r="W16" s="76">
        <f t="shared" si="0"/>
        <v>-285.62637805487861</v>
      </c>
    </row>
    <row r="17" spans="2:23" x14ac:dyDescent="0.25">
      <c r="B17" s="136" t="s">
        <v>63</v>
      </c>
      <c r="C17" s="137"/>
      <c r="D17" s="137"/>
      <c r="E17" s="171">
        <f>SQRT((E12-K7)^2+K9^2)</f>
        <v>6116.0588741914798</v>
      </c>
      <c r="F17" s="172"/>
      <c r="G17" s="168"/>
      <c r="H17" s="169"/>
      <c r="I17" s="169"/>
      <c r="J17" s="169"/>
      <c r="K17" s="169"/>
      <c r="L17" s="169"/>
      <c r="M17" s="170"/>
      <c r="V17" s="73">
        <v>-300</v>
      </c>
      <c r="W17" s="76">
        <f t="shared" si="0"/>
        <v>-441.2714962378065</v>
      </c>
    </row>
    <row r="18" spans="2:23" x14ac:dyDescent="0.25">
      <c r="B18" s="136" t="s">
        <v>64</v>
      </c>
      <c r="C18" s="137"/>
      <c r="D18" s="137"/>
      <c r="E18" s="171">
        <f>SQRT((E12-M7)^2+M9^2)</f>
        <v>6035.0905551290798</v>
      </c>
      <c r="F18" s="172"/>
      <c r="G18" s="168"/>
      <c r="H18" s="169"/>
      <c r="I18" s="169"/>
      <c r="J18" s="169"/>
      <c r="K18" s="169"/>
      <c r="L18" s="169"/>
      <c r="M18" s="170"/>
      <c r="V18" s="73">
        <v>-250</v>
      </c>
      <c r="W18" s="76">
        <f t="shared" si="0"/>
        <v>-681.73161988049924</v>
      </c>
    </row>
    <row r="19" spans="2:23" x14ac:dyDescent="0.25">
      <c r="B19" s="136" t="s">
        <v>52</v>
      </c>
      <c r="C19" s="137"/>
      <c r="D19" s="137"/>
      <c r="E19" s="103">
        <f>ATAN2(-(E12-C7), C9)</f>
        <v>3.1223191268363761</v>
      </c>
      <c r="F19" s="104">
        <f t="shared" ref="F19:F24" si="1">DEGREES(E19)</f>
        <v>178.89570826069672</v>
      </c>
      <c r="G19" s="142" t="s">
        <v>68</v>
      </c>
      <c r="H19" s="143"/>
      <c r="I19" s="143"/>
      <c r="J19" s="143"/>
      <c r="K19" s="143"/>
      <c r="L19" s="143"/>
      <c r="M19" s="144"/>
      <c r="V19" s="73">
        <v>-200</v>
      </c>
      <c r="W19" s="76">
        <f t="shared" si="0"/>
        <v>-1053.2246145679571</v>
      </c>
    </row>
    <row r="20" spans="2:23" x14ac:dyDescent="0.25">
      <c r="B20" s="136" t="s">
        <v>53</v>
      </c>
      <c r="C20" s="137"/>
      <c r="D20" s="137"/>
      <c r="E20" s="103">
        <f>ATAN2(-(E12-E7), E9)</f>
        <v>3.1368340177147727</v>
      </c>
      <c r="F20" s="104">
        <f t="shared" si="1"/>
        <v>179.72735024812178</v>
      </c>
      <c r="G20" s="145"/>
      <c r="H20" s="146"/>
      <c r="I20" s="146"/>
      <c r="J20" s="146"/>
      <c r="K20" s="146"/>
      <c r="L20" s="146"/>
      <c r="M20" s="147"/>
      <c r="V20" s="73">
        <v>-150</v>
      </c>
      <c r="W20" s="76">
        <f t="shared" si="0"/>
        <v>-1627.1536428459474</v>
      </c>
    </row>
    <row r="21" spans="2:23" x14ac:dyDescent="0.25">
      <c r="B21" s="136" t="s">
        <v>54</v>
      </c>
      <c r="C21" s="137"/>
      <c r="D21" s="137"/>
      <c r="E21" s="103">
        <f>ATAN2(-(E12-G7), G9)</f>
        <v>-3.1270617271184049</v>
      </c>
      <c r="F21" s="104">
        <f t="shared" si="1"/>
        <v>-179.16743924077454</v>
      </c>
      <c r="G21" s="145"/>
      <c r="H21" s="146"/>
      <c r="I21" s="146"/>
      <c r="J21" s="146"/>
      <c r="K21" s="146"/>
      <c r="L21" s="146"/>
      <c r="M21" s="147"/>
      <c r="V21" s="73">
        <v>-100</v>
      </c>
      <c r="W21" s="76">
        <f t="shared" si="0"/>
        <v>-2513.8312766388558</v>
      </c>
    </row>
    <row r="22" spans="2:23" x14ac:dyDescent="0.25">
      <c r="B22" s="136" t="s">
        <v>55</v>
      </c>
      <c r="C22" s="137"/>
      <c r="D22" s="137"/>
      <c r="E22" s="103">
        <f>ATAN2(-(E12-I7), I9)</f>
        <v>3.1274534982447206</v>
      </c>
      <c r="F22" s="104">
        <f t="shared" si="1"/>
        <v>179.18988607284751</v>
      </c>
      <c r="G22" s="145"/>
      <c r="H22" s="146"/>
      <c r="I22" s="146"/>
      <c r="J22" s="146"/>
      <c r="K22" s="146"/>
      <c r="L22" s="146"/>
      <c r="M22" s="147"/>
      <c r="V22" s="73">
        <v>-50</v>
      </c>
      <c r="W22" s="76">
        <f t="shared" si="0"/>
        <v>-3883.6822295127517</v>
      </c>
    </row>
    <row r="23" spans="2:23" x14ac:dyDescent="0.25">
      <c r="B23" s="136" t="s">
        <v>56</v>
      </c>
      <c r="C23" s="137"/>
      <c r="D23" s="137"/>
      <c r="E23" s="103">
        <f>ATAN2(-(E12-K7), K9)</f>
        <v>-3.137014526010244</v>
      </c>
      <c r="F23" s="104">
        <f t="shared" si="1"/>
        <v>-179.73769261161939</v>
      </c>
      <c r="G23" s="145"/>
      <c r="H23" s="146"/>
      <c r="I23" s="146"/>
      <c r="J23" s="146"/>
      <c r="K23" s="146"/>
      <c r="L23" s="146"/>
      <c r="M23" s="147"/>
      <c r="V23" s="73">
        <v>0</v>
      </c>
      <c r="W23" s="76"/>
    </row>
    <row r="24" spans="2:23" x14ac:dyDescent="0.25">
      <c r="B24" s="136" t="s">
        <v>57</v>
      </c>
      <c r="C24" s="137"/>
      <c r="D24" s="137"/>
      <c r="E24" s="103">
        <f>ATAN2(-(E12-M7), M9)</f>
        <v>-3.1225362766335341</v>
      </c>
      <c r="F24" s="104">
        <f t="shared" si="1"/>
        <v>-178.90815002759601</v>
      </c>
      <c r="G24" s="148"/>
      <c r="H24" s="149"/>
      <c r="I24" s="149"/>
      <c r="J24" s="149"/>
      <c r="K24" s="149"/>
      <c r="L24" s="149"/>
      <c r="M24" s="150"/>
      <c r="V24" s="73">
        <v>50</v>
      </c>
      <c r="W24" s="76">
        <f t="shared" si="0"/>
        <v>3883.6822295127517</v>
      </c>
    </row>
    <row r="25" spans="2:23" x14ac:dyDescent="0.25">
      <c r="B25" s="173" t="s">
        <v>71</v>
      </c>
      <c r="C25" s="174"/>
      <c r="D25" s="174"/>
      <c r="E25" s="134">
        <f>MAX(E13:F18)</f>
        <v>6116.0588741914798</v>
      </c>
      <c r="F25" s="135"/>
      <c r="G25" s="160"/>
      <c r="H25" s="161"/>
      <c r="I25" s="161"/>
      <c r="J25" s="161"/>
      <c r="K25" s="161"/>
      <c r="L25" s="161"/>
      <c r="M25" s="162"/>
      <c r="V25" s="73">
        <v>100</v>
      </c>
      <c r="W25" s="76">
        <f t="shared" si="0"/>
        <v>2513.8312766388558</v>
      </c>
    </row>
    <row r="26" spans="2:23" ht="15.75" thickBot="1" x14ac:dyDescent="0.3">
      <c r="B26" s="163" t="s">
        <v>72</v>
      </c>
      <c r="C26" s="164"/>
      <c r="D26" s="164"/>
      <c r="E26" s="105">
        <f>SIGN(E12) * D3 / E25</f>
        <v>1.6350398525753176E-2</v>
      </c>
      <c r="F26" s="106">
        <f>ABS(E26)</f>
        <v>1.6350398525753176E-2</v>
      </c>
      <c r="G26" s="165" t="s">
        <v>45</v>
      </c>
      <c r="H26" s="166"/>
      <c r="I26" s="166"/>
      <c r="J26" s="166"/>
      <c r="K26" s="166"/>
      <c r="L26" s="166"/>
      <c r="M26" s="167"/>
      <c r="V26" s="73">
        <v>150</v>
      </c>
      <c r="W26" s="76">
        <f t="shared" si="0"/>
        <v>1627.1536428459474</v>
      </c>
    </row>
    <row r="27" spans="2:23" x14ac:dyDescent="0.25">
      <c r="V27" s="73">
        <v>200</v>
      </c>
      <c r="W27" s="76">
        <f t="shared" si="0"/>
        <v>1053.2246145679571</v>
      </c>
    </row>
    <row r="28" spans="2:23" x14ac:dyDescent="0.25">
      <c r="V28" s="73">
        <v>250</v>
      </c>
      <c r="W28" s="76">
        <f t="shared" si="0"/>
        <v>681.73161988049924</v>
      </c>
    </row>
    <row r="29" spans="2:23" ht="15.75" thickBot="1" x14ac:dyDescent="0.3">
      <c r="B29" s="151" t="s">
        <v>67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V29" s="73">
        <v>300</v>
      </c>
      <c r="W29" s="76">
        <f t="shared" si="0"/>
        <v>441.2714962378065</v>
      </c>
    </row>
    <row r="30" spans="2:23" x14ac:dyDescent="0.25">
      <c r="B30" s="140" t="s">
        <v>65</v>
      </c>
      <c r="C30" s="155" t="s">
        <v>46</v>
      </c>
      <c r="D30" s="156"/>
      <c r="E30" s="157"/>
      <c r="F30" s="152" t="s">
        <v>47</v>
      </c>
      <c r="G30" s="153"/>
      <c r="H30" s="154"/>
      <c r="I30" s="155" t="s">
        <v>48</v>
      </c>
      <c r="J30" s="156"/>
      <c r="K30" s="157"/>
      <c r="L30" s="152" t="s">
        <v>49</v>
      </c>
      <c r="M30" s="153"/>
      <c r="N30" s="154"/>
      <c r="O30" s="155" t="s">
        <v>50</v>
      </c>
      <c r="P30" s="156"/>
      <c r="Q30" s="157"/>
      <c r="R30" s="152" t="s">
        <v>51</v>
      </c>
      <c r="S30" s="153"/>
      <c r="T30" s="154"/>
      <c r="V30" s="73">
        <v>350</v>
      </c>
      <c r="W30" s="76">
        <f t="shared" si="0"/>
        <v>285.62637805487861</v>
      </c>
    </row>
    <row r="31" spans="2:23" ht="15.75" thickBot="1" x14ac:dyDescent="0.3">
      <c r="B31" s="141"/>
      <c r="C31" s="58" t="s">
        <v>58</v>
      </c>
      <c r="D31" s="59" t="s">
        <v>32</v>
      </c>
      <c r="E31" s="60" t="s">
        <v>35</v>
      </c>
      <c r="F31" s="61" t="s">
        <v>58</v>
      </c>
      <c r="G31" s="62" t="s">
        <v>32</v>
      </c>
      <c r="H31" s="63" t="s">
        <v>35</v>
      </c>
      <c r="I31" s="58" t="s">
        <v>58</v>
      </c>
      <c r="J31" s="59" t="s">
        <v>32</v>
      </c>
      <c r="K31" s="60" t="s">
        <v>35</v>
      </c>
      <c r="L31" s="61" t="s">
        <v>58</v>
      </c>
      <c r="M31" s="62" t="s">
        <v>32</v>
      </c>
      <c r="N31" s="63" t="s">
        <v>35</v>
      </c>
      <c r="O31" s="58" t="s">
        <v>58</v>
      </c>
      <c r="P31" s="59" t="s">
        <v>32</v>
      </c>
      <c r="Q31" s="60" t="s">
        <v>35</v>
      </c>
      <c r="R31" s="61" t="s">
        <v>58</v>
      </c>
      <c r="S31" s="62" t="s">
        <v>32</v>
      </c>
      <c r="T31" s="63" t="s">
        <v>35</v>
      </c>
      <c r="V31" s="73">
        <v>400</v>
      </c>
      <c r="W31" s="76">
        <f t="shared" si="0"/>
        <v>184.88034812197066</v>
      </c>
    </row>
    <row r="32" spans="2:23" x14ac:dyDescent="0.25">
      <c r="B32" s="65">
        <v>0</v>
      </c>
      <c r="C32" s="81">
        <f>($B32-0.5) * $E$26 + $E$19</f>
        <v>3.1141439275734997</v>
      </c>
      <c r="D32" s="82">
        <f>$E$12+$E$13*COS(C32)</f>
        <v>35.139501631141684</v>
      </c>
      <c r="E32" s="83">
        <f>$E$13*SIN(C32)</f>
        <v>163.76880992144734</v>
      </c>
      <c r="F32" s="84">
        <f>($B32 - 0.5) * $E$26 + $E$20</f>
        <v>3.1286588184518962</v>
      </c>
      <c r="G32" s="85">
        <f>$E$12+$E$14*COS(F32)</f>
        <v>116.42552704381797</v>
      </c>
      <c r="H32" s="86">
        <f>$E$14*SIN(F32)</f>
        <v>76.10135830678152</v>
      </c>
      <c r="I32" s="81">
        <f>($B32 - 0.5) * $E$26 + $E$21</f>
        <v>-3.1352369263812814</v>
      </c>
      <c r="J32" s="82">
        <f>$E$12+$E$15*COS(I32)</f>
        <v>81.494700878724871</v>
      </c>
      <c r="K32" s="83">
        <f>$E$15*SIN(I32)</f>
        <v>-37.61687850431354</v>
      </c>
      <c r="L32" s="84">
        <f xml:space="preserve"> ($B32 - 0.5) * $E$26 + $E$22</f>
        <v>3.1192782989818442</v>
      </c>
      <c r="M32" s="85">
        <f>$E$12+$E$16*COS(L32)</f>
        <v>-81.093700163028188</v>
      </c>
      <c r="N32" s="86">
        <f>$E$16*SIN(L32)</f>
        <v>135.71809155853015</v>
      </c>
      <c r="O32" s="81">
        <f>($B32 - 0.5) * $E$26 + $E$23</f>
        <v>-3.1451897252731205</v>
      </c>
      <c r="P32" s="82">
        <f>$E$12+$E$17*COS(O32)</f>
        <v>-116.02452632812219</v>
      </c>
      <c r="Q32" s="83">
        <f>$E$17*SIN(O32)</f>
        <v>21.999854747434089</v>
      </c>
      <c r="R32" s="84">
        <f>($B32 - 0.5) * $E$26 + $E$24</f>
        <v>-3.1307114758964105</v>
      </c>
      <c r="S32" s="85">
        <f>$E$12+$E$18*COS(R32)</f>
        <v>-34.738500915445002</v>
      </c>
      <c r="T32" s="86">
        <f>$E$18*SIN(R32)</f>
        <v>-65.667596867230571</v>
      </c>
      <c r="V32" s="73">
        <v>450</v>
      </c>
      <c r="W32" s="76">
        <f t="shared" si="0"/>
        <v>119.66942043123808</v>
      </c>
    </row>
    <row r="33" spans="2:23" x14ac:dyDescent="0.25">
      <c r="B33" s="57">
        <v>0.05</v>
      </c>
      <c r="C33" s="87">
        <f t="shared" ref="C33:C52" si="2">($B33-0.5) * $E$26 + $E$19</f>
        <v>3.1149614474997871</v>
      </c>
      <c r="D33" s="88">
        <f t="shared" ref="D33:D52" si="3">$E$12+$E$13*COS(C33)</f>
        <v>35.007610652727635</v>
      </c>
      <c r="E33" s="89">
        <f t="shared" ref="E33:E52" si="4">$E$13*SIN(C33)</f>
        <v>158.89236769037575</v>
      </c>
      <c r="F33" s="90">
        <f t="shared" ref="F33:F52" si="5">($B33 - 0.5) * $E$26 + $E$20</f>
        <v>3.1294763383781836</v>
      </c>
      <c r="G33" s="91">
        <f t="shared" ref="G33:G52" si="6">$E$12+$E$14*COS(F33)</f>
        <v>116.36527878270044</v>
      </c>
      <c r="H33" s="92">
        <f t="shared" ref="H33:H52" si="7">$E$14*SIN(F33)</f>
        <v>71.291398309590704</v>
      </c>
      <c r="I33" s="87">
        <f t="shared" ref="I33:I52" si="8">($B33 - 0.5) * $E$26 + $E$21</f>
        <v>-3.134419406454994</v>
      </c>
      <c r="J33" s="88">
        <f t="shared" ref="J33:J52" si="9">$E$12+$E$15*COS(I33)</f>
        <v>81.52743120463947</v>
      </c>
      <c r="K33" s="89">
        <f t="shared" ref="K33:K52" si="10">$E$15*SIN(I33)</f>
        <v>-42.455357143600537</v>
      </c>
      <c r="L33" s="90">
        <f t="shared" ref="L33:L52" si="11" xml:space="preserve"> ($B33 - 0.5) * $E$26 + $E$22</f>
        <v>3.1200958189081316</v>
      </c>
      <c r="M33" s="91">
        <f t="shared" ref="M33:M52" si="12">$E$12+$E$16*COS(L33)</f>
        <v>-81.20262028120942</v>
      </c>
      <c r="N33" s="92">
        <f t="shared" ref="N33:N52" si="13">$E$16*SIN(L33)</f>
        <v>130.74663575317183</v>
      </c>
      <c r="O33" s="87">
        <f t="shared" ref="O33:O52" si="14">($B33 - 0.5) * $E$26 + $E$23</f>
        <v>-3.144372205346833</v>
      </c>
      <c r="P33" s="88">
        <f t="shared" ref="P33:P52" si="15">$E$12+$E$17*COS(O33)</f>
        <v>-116.04046785927039</v>
      </c>
      <c r="Q33" s="89">
        <f t="shared" ref="Q33:Q52" si="16">$E$17*SIN(O33)</f>
        <v>16.999880299979605</v>
      </c>
      <c r="R33" s="90">
        <f t="shared" ref="R33:R52" si="17">($B33 - 0.5) * $E$26 + $E$24</f>
        <v>-3.1298939559701231</v>
      </c>
      <c r="S33" s="91">
        <f t="shared" ref="S33:S52" si="18">$E$12+$E$18*COS(R33)</f>
        <v>-34.682799729296676</v>
      </c>
      <c r="T33" s="92">
        <f t="shared" ref="T33:T52" si="19">$E$18*SIN(R33)</f>
        <v>-70.601089080804286</v>
      </c>
      <c r="V33" s="73">
        <v>500</v>
      </c>
      <c r="W33" s="76">
        <f t="shared" si="0"/>
        <v>77.459666924148308</v>
      </c>
    </row>
    <row r="34" spans="2:23" x14ac:dyDescent="0.25">
      <c r="B34" s="56">
        <v>0.1</v>
      </c>
      <c r="C34" s="87">
        <f t="shared" si="2"/>
        <v>3.115778967426075</v>
      </c>
      <c r="D34" s="88">
        <f t="shared" si="3"/>
        <v>34.879706306635853</v>
      </c>
      <c r="E34" s="89">
        <f t="shared" si="4"/>
        <v>154.01581926536832</v>
      </c>
      <c r="F34" s="90">
        <f t="shared" si="5"/>
        <v>3.1302938583044715</v>
      </c>
      <c r="G34" s="91">
        <f t="shared" si="6"/>
        <v>116.30896277941974</v>
      </c>
      <c r="H34" s="92">
        <f t="shared" si="7"/>
        <v>66.481390665590197</v>
      </c>
      <c r="I34" s="87">
        <f t="shared" si="8"/>
        <v>-3.1336018865287061</v>
      </c>
      <c r="J34" s="88">
        <f t="shared" si="9"/>
        <v>81.564117071877263</v>
      </c>
      <c r="K34" s="89">
        <f t="shared" si="10"/>
        <v>-47.293807408328036</v>
      </c>
      <c r="L34" s="90">
        <f t="shared" si="11"/>
        <v>3.1209133388344195</v>
      </c>
      <c r="M34" s="91">
        <f t="shared" si="12"/>
        <v>-81.307476099262203</v>
      </c>
      <c r="N34" s="92">
        <f t="shared" si="13"/>
        <v>125.77509256476216</v>
      </c>
      <c r="O34" s="87">
        <f t="shared" si="14"/>
        <v>-3.1435546854205452</v>
      </c>
      <c r="P34" s="88">
        <f t="shared" si="15"/>
        <v>-116.05232180680559</v>
      </c>
      <c r="Q34" s="89">
        <f t="shared" si="16"/>
        <v>11.999894490842928</v>
      </c>
      <c r="R34" s="90">
        <f t="shared" si="17"/>
        <v>-3.1290764360438352</v>
      </c>
      <c r="S34" s="91">
        <f t="shared" si="18"/>
        <v>-34.623065334020794</v>
      </c>
      <c r="T34" s="92">
        <f t="shared" si="19"/>
        <v>-75.534534108934039</v>
      </c>
      <c r="V34" s="73">
        <v>550</v>
      </c>
      <c r="W34" s="76">
        <f t="shared" si="0"/>
        <v>50.138121989548587</v>
      </c>
    </row>
    <row r="35" spans="2:23" x14ac:dyDescent="0.25">
      <c r="B35" s="57">
        <v>0.15</v>
      </c>
      <c r="C35" s="87">
        <f t="shared" si="2"/>
        <v>3.1165964873523624</v>
      </c>
      <c r="D35" s="88">
        <f t="shared" si="3"/>
        <v>34.755788678351564</v>
      </c>
      <c r="E35" s="89">
        <f t="shared" si="4"/>
        <v>149.13916790561683</v>
      </c>
      <c r="F35" s="90">
        <f t="shared" si="5"/>
        <v>3.1311113782307589</v>
      </c>
      <c r="G35" s="91">
        <f t="shared" si="6"/>
        <v>116.25657907161531</v>
      </c>
      <c r="H35" s="92">
        <f t="shared" si="7"/>
        <v>61.671338589499925</v>
      </c>
      <c r="I35" s="87">
        <f t="shared" si="8"/>
        <v>-3.1327843666024187</v>
      </c>
      <c r="J35" s="88">
        <f t="shared" si="9"/>
        <v>81.604758455919182</v>
      </c>
      <c r="K35" s="89">
        <f t="shared" si="10"/>
        <v>-52.132226064766748</v>
      </c>
      <c r="L35" s="90">
        <f t="shared" si="11"/>
        <v>3.1217308587607069</v>
      </c>
      <c r="M35" s="91">
        <f t="shared" si="12"/>
        <v>-81.408267547107243</v>
      </c>
      <c r="N35" s="92">
        <f t="shared" si="13"/>
        <v>120.80346531598167</v>
      </c>
      <c r="O35" s="87">
        <f t="shared" si="14"/>
        <v>-3.1427371654942577</v>
      </c>
      <c r="P35" s="88">
        <f t="shared" si="15"/>
        <v>-116.06008816280428</v>
      </c>
      <c r="Q35" s="89">
        <f t="shared" si="16"/>
        <v>6.9999006617139736</v>
      </c>
      <c r="R35" s="90">
        <f t="shared" si="17"/>
        <v>-3.1282589161175478</v>
      </c>
      <c r="S35" s="91">
        <f t="shared" si="18"/>
        <v>-34.559297769539626</v>
      </c>
      <c r="T35" s="92">
        <f t="shared" si="19"/>
        <v>-80.467928654401774</v>
      </c>
      <c r="V35" s="73">
        <v>600</v>
      </c>
      <c r="W35" s="76">
        <f t="shared" si="0"/>
        <v>32.453422231992072</v>
      </c>
    </row>
    <row r="36" spans="2:23" x14ac:dyDescent="0.25">
      <c r="B36" s="56">
        <v>0.2</v>
      </c>
      <c r="C36" s="87">
        <f t="shared" si="2"/>
        <v>3.1174140072786503</v>
      </c>
      <c r="D36" s="88">
        <f t="shared" si="3"/>
        <v>34.635857850693355</v>
      </c>
      <c r="E36" s="89">
        <f t="shared" si="4"/>
        <v>144.26241687037131</v>
      </c>
      <c r="F36" s="90">
        <f t="shared" si="5"/>
        <v>3.1319288981570468</v>
      </c>
      <c r="G36" s="91">
        <f t="shared" si="6"/>
        <v>116.20812769429722</v>
      </c>
      <c r="H36" s="92">
        <f t="shared" si="7"/>
        <v>56.861245296059082</v>
      </c>
      <c r="I36" s="87">
        <f t="shared" si="8"/>
        <v>-3.1319668466761308</v>
      </c>
      <c r="J36" s="88">
        <f t="shared" si="9"/>
        <v>81.649355329602258</v>
      </c>
      <c r="K36" s="89">
        <f t="shared" si="10"/>
        <v>-56.970609879219076</v>
      </c>
      <c r="L36" s="90">
        <f t="shared" si="11"/>
        <v>3.1225483786869948</v>
      </c>
      <c r="M36" s="91">
        <f t="shared" si="12"/>
        <v>-81.504994557381906</v>
      </c>
      <c r="N36" s="92">
        <f t="shared" si="13"/>
        <v>115.8317573295563</v>
      </c>
      <c r="O36" s="87">
        <f t="shared" si="14"/>
        <v>-3.1419196455679699</v>
      </c>
      <c r="P36" s="88">
        <f t="shared" si="15"/>
        <v>-116.06376692207687</v>
      </c>
      <c r="Q36" s="89">
        <f t="shared" si="16"/>
        <v>1.9999021542771453</v>
      </c>
      <c r="R36" s="90">
        <f t="shared" si="17"/>
        <v>-3.1274413961912599</v>
      </c>
      <c r="S36" s="91">
        <f t="shared" si="18"/>
        <v>-34.491497078472094</v>
      </c>
      <c r="T36" s="92">
        <f t="shared" si="19"/>
        <v>-85.401269420033927</v>
      </c>
      <c r="V36" s="73">
        <v>650</v>
      </c>
      <c r="W36" s="76">
        <f t="shared" si="0"/>
        <v>21.006463201543625</v>
      </c>
    </row>
    <row r="37" spans="2:23" x14ac:dyDescent="0.25">
      <c r="B37" s="57">
        <v>0.25</v>
      </c>
      <c r="C37" s="87">
        <f t="shared" si="2"/>
        <v>3.1182315272049377</v>
      </c>
      <c r="D37" s="88">
        <f t="shared" si="3"/>
        <v>34.519913903814086</v>
      </c>
      <c r="E37" s="89">
        <f t="shared" si="4"/>
        <v>139.38556941895891</v>
      </c>
      <c r="F37" s="90">
        <f t="shared" si="5"/>
        <v>3.1327464180833342</v>
      </c>
      <c r="G37" s="91">
        <f t="shared" si="6"/>
        <v>116.16360867984531</v>
      </c>
      <c r="H37" s="92">
        <f t="shared" si="7"/>
        <v>52.051114000044805</v>
      </c>
      <c r="I37" s="87">
        <f t="shared" si="8"/>
        <v>-3.1311493267498434</v>
      </c>
      <c r="J37" s="88">
        <f t="shared" si="9"/>
        <v>81.697907663121441</v>
      </c>
      <c r="K37" s="89">
        <f t="shared" si="10"/>
        <v>-61.808955618000155</v>
      </c>
      <c r="L37" s="90">
        <f t="shared" si="11"/>
        <v>3.1233658986132822</v>
      </c>
      <c r="M37" s="91">
        <f t="shared" si="12"/>
        <v>-81.597657065439307</v>
      </c>
      <c r="N37" s="92">
        <f t="shared" si="13"/>
        <v>110.85997192827679</v>
      </c>
      <c r="O37" s="87">
        <f t="shared" si="14"/>
        <v>-3.1411021256416825</v>
      </c>
      <c r="P37" s="88">
        <f t="shared" si="15"/>
        <v>-116.06335808216318</v>
      </c>
      <c r="Q37" s="89">
        <f t="shared" si="16"/>
        <v>-3.000097689769158</v>
      </c>
      <c r="R37" s="90">
        <f t="shared" si="17"/>
        <v>-3.1266238762649725</v>
      </c>
      <c r="S37" s="91">
        <f t="shared" si="18"/>
        <v>-34.419663306131042</v>
      </c>
      <c r="T37" s="92">
        <f t="shared" si="19"/>
        <v>-90.334553108682087</v>
      </c>
      <c r="V37" s="73">
        <v>700</v>
      </c>
      <c r="W37" s="76">
        <f t="shared" si="0"/>
        <v>13.597071306791424</v>
      </c>
    </row>
    <row r="38" spans="2:23" x14ac:dyDescent="0.25">
      <c r="B38" s="56">
        <v>0.3</v>
      </c>
      <c r="C38" s="87">
        <f t="shared" si="2"/>
        <v>3.1190490471312255</v>
      </c>
      <c r="D38" s="88">
        <f t="shared" si="3"/>
        <v>34.407956915204522</v>
      </c>
      <c r="E38" s="89">
        <f t="shared" si="4"/>
        <v>134.50862881076068</v>
      </c>
      <c r="F38" s="90">
        <f t="shared" si="5"/>
        <v>3.1335639380096221</v>
      </c>
      <c r="G38" s="91">
        <f t="shared" si="6"/>
        <v>116.12302205801552</v>
      </c>
      <c r="H38" s="92">
        <f t="shared" si="7"/>
        <v>47.240947916249233</v>
      </c>
      <c r="I38" s="87">
        <f t="shared" si="8"/>
        <v>-3.1303318068235555</v>
      </c>
      <c r="J38" s="88">
        <f t="shared" si="9"/>
        <v>81.750415424026869</v>
      </c>
      <c r="K38" s="89">
        <f t="shared" si="10"/>
        <v>-66.647260047461074</v>
      </c>
      <c r="L38" s="90">
        <f t="shared" si="11"/>
        <v>3.12418341853957</v>
      </c>
      <c r="M38" s="91">
        <f t="shared" si="12"/>
        <v>-81.686255009349225</v>
      </c>
      <c r="N38" s="92">
        <f t="shared" si="13"/>
        <v>105.88811243497481</v>
      </c>
      <c r="O38" s="87">
        <f t="shared" si="14"/>
        <v>-3.1402846057153946</v>
      </c>
      <c r="P38" s="88">
        <f t="shared" si="15"/>
        <v>-116.05886164333879</v>
      </c>
      <c r="Q38" s="89">
        <f t="shared" si="16"/>
        <v>-8.0000955287365088</v>
      </c>
      <c r="R38" s="90">
        <f t="shared" si="17"/>
        <v>-3.1258063563386846</v>
      </c>
      <c r="S38" s="91">
        <f t="shared" si="18"/>
        <v>-34.343796500527787</v>
      </c>
      <c r="T38" s="92">
        <f t="shared" si="19"/>
        <v>-95.267776423246787</v>
      </c>
      <c r="V38" s="73">
        <v>750</v>
      </c>
      <c r="W38" s="76">
        <f t="shared" si="0"/>
        <v>8.8011173679339318</v>
      </c>
    </row>
    <row r="39" spans="2:23" x14ac:dyDescent="0.25">
      <c r="B39" s="57">
        <v>0.35</v>
      </c>
      <c r="C39" s="87">
        <f t="shared" si="2"/>
        <v>3.119866567057513</v>
      </c>
      <c r="D39" s="88">
        <f t="shared" si="3"/>
        <v>34.299986959690614</v>
      </c>
      <c r="E39" s="89">
        <f t="shared" si="4"/>
        <v>129.63159830523051</v>
      </c>
      <c r="F39" s="90">
        <f t="shared" si="5"/>
        <v>3.1343814579359095</v>
      </c>
      <c r="G39" s="91">
        <f t="shared" si="6"/>
        <v>116.08636785593353</v>
      </c>
      <c r="H39" s="92">
        <f t="shared" si="7"/>
        <v>42.43075025949819</v>
      </c>
      <c r="I39" s="87">
        <f t="shared" si="8"/>
        <v>-3.1295142868972681</v>
      </c>
      <c r="J39" s="88">
        <f t="shared" si="9"/>
        <v>81.806878577225689</v>
      </c>
      <c r="K39" s="89">
        <f t="shared" si="10"/>
        <v>-71.485519933970068</v>
      </c>
      <c r="L39" s="90">
        <f t="shared" si="11"/>
        <v>3.1250009384658575</v>
      </c>
      <c r="M39" s="91">
        <f t="shared" si="12"/>
        <v>-81.770788329899005</v>
      </c>
      <c r="N39" s="92">
        <f t="shared" si="13"/>
        <v>100.91618217254231</v>
      </c>
      <c r="O39" s="87">
        <f t="shared" si="14"/>
        <v>-3.1394670857891072</v>
      </c>
      <c r="P39" s="88">
        <f t="shared" si="15"/>
        <v>-116.05027760860685</v>
      </c>
      <c r="Q39" s="89">
        <f t="shared" si="16"/>
        <v>-13.00008802092696</v>
      </c>
      <c r="R39" s="90">
        <f t="shared" si="17"/>
        <v>-3.1249888364123972</v>
      </c>
      <c r="S39" s="91">
        <f t="shared" si="18"/>
        <v>-34.26389671236393</v>
      </c>
      <c r="T39" s="92">
        <f t="shared" si="19"/>
        <v>-100.20093606665812</v>
      </c>
      <c r="V39" s="73">
        <v>800</v>
      </c>
      <c r="W39" s="76">
        <f t="shared" si="0"/>
        <v>5.6967905202835105</v>
      </c>
    </row>
    <row r="40" spans="2:23" x14ac:dyDescent="0.25">
      <c r="B40" s="56">
        <v>0.4</v>
      </c>
      <c r="C40" s="87">
        <f t="shared" si="2"/>
        <v>3.1206840869838008</v>
      </c>
      <c r="D40" s="88">
        <f t="shared" si="3"/>
        <v>34.196004109432579</v>
      </c>
      <c r="E40" s="89">
        <f t="shared" si="4"/>
        <v>124.75448116187178</v>
      </c>
      <c r="F40" s="90">
        <f t="shared" si="5"/>
        <v>3.1351989778621974</v>
      </c>
      <c r="G40" s="91">
        <f t="shared" si="6"/>
        <v>116.05364609809476</v>
      </c>
      <c r="H40" s="92">
        <f t="shared" si="7"/>
        <v>37.620524244628129</v>
      </c>
      <c r="I40" s="87">
        <f t="shared" si="8"/>
        <v>-3.1286967669709802</v>
      </c>
      <c r="J40" s="88">
        <f t="shared" si="9"/>
        <v>81.867297084981146</v>
      </c>
      <c r="K40" s="89">
        <f t="shared" si="10"/>
        <v>-76.323732043935593</v>
      </c>
      <c r="L40" s="90">
        <f t="shared" si="11"/>
        <v>3.1258184583921453</v>
      </c>
      <c r="M40" s="91">
        <f t="shared" si="12"/>
        <v>-81.851256970590839</v>
      </c>
      <c r="N40" s="92">
        <f t="shared" si="13"/>
        <v>95.944184463907732</v>
      </c>
      <c r="O40" s="87">
        <f t="shared" si="14"/>
        <v>-3.1386495658628193</v>
      </c>
      <c r="P40" s="88">
        <f t="shared" si="15"/>
        <v>-116.03760598370536</v>
      </c>
      <c r="Q40" s="89">
        <f t="shared" si="16"/>
        <v>-18.000071824656992</v>
      </c>
      <c r="R40" s="90">
        <f t="shared" si="17"/>
        <v>-3.1241713164861094</v>
      </c>
      <c r="S40" s="91">
        <f t="shared" si="18"/>
        <v>-34.179963995042272</v>
      </c>
      <c r="T40" s="92">
        <f t="shared" si="19"/>
        <v>-105.13402874189948</v>
      </c>
      <c r="V40" s="73">
        <v>850</v>
      </c>
      <c r="W40" s="76">
        <f t="shared" si="0"/>
        <v>3.6874206848136306</v>
      </c>
    </row>
    <row r="41" spans="2:23" x14ac:dyDescent="0.25">
      <c r="B41" s="57">
        <v>0.45</v>
      </c>
      <c r="C41" s="87">
        <f t="shared" si="2"/>
        <v>3.1215016069100883</v>
      </c>
      <c r="D41" s="88">
        <f t="shared" si="3"/>
        <v>34.096008433924908</v>
      </c>
      <c r="E41" s="89">
        <f t="shared" si="4"/>
        <v>119.8772806402564</v>
      </c>
      <c r="F41" s="90">
        <f t="shared" si="5"/>
        <v>3.1360164977884848</v>
      </c>
      <c r="G41" s="91">
        <f t="shared" si="6"/>
        <v>116.02485680636983</v>
      </c>
      <c r="H41" s="92">
        <f t="shared" si="7"/>
        <v>32.810273086504921</v>
      </c>
      <c r="I41" s="87">
        <f t="shared" si="8"/>
        <v>-3.1278792470446928</v>
      </c>
      <c r="J41" s="88">
        <f t="shared" si="9"/>
        <v>81.931670906913496</v>
      </c>
      <c r="K41" s="89">
        <f t="shared" si="10"/>
        <v>-81.161893143787566</v>
      </c>
      <c r="L41" s="90">
        <f t="shared" si="11"/>
        <v>3.1266359783184328</v>
      </c>
      <c r="M41" s="91">
        <f t="shared" si="12"/>
        <v>-81.927660877646304</v>
      </c>
      <c r="N41" s="92">
        <f t="shared" si="13"/>
        <v>90.972122632055459</v>
      </c>
      <c r="O41" s="87">
        <f t="shared" si="14"/>
        <v>-3.1378320459365319</v>
      </c>
      <c r="P41" s="88">
        <f t="shared" si="15"/>
        <v>-116.02084677710263</v>
      </c>
      <c r="Q41" s="89">
        <f t="shared" si="16"/>
        <v>-23.000043598238037</v>
      </c>
      <c r="R41" s="90">
        <f t="shared" si="17"/>
        <v>-3.1233537965598219</v>
      </c>
      <c r="S41" s="91">
        <f t="shared" si="18"/>
        <v>-34.091998404657716</v>
      </c>
      <c r="T41" s="92">
        <f t="shared" si="19"/>
        <v>-110.06705115198834</v>
      </c>
      <c r="V41" s="73">
        <v>900</v>
      </c>
      <c r="W41" s="76">
        <f t="shared" si="0"/>
        <v>2.3867950310580737</v>
      </c>
    </row>
    <row r="42" spans="2:23" x14ac:dyDescent="0.25">
      <c r="B42" s="64">
        <v>0.5</v>
      </c>
      <c r="C42" s="93">
        <f t="shared" si="2"/>
        <v>3.1223191268363761</v>
      </c>
      <c r="D42" s="94">
        <f t="shared" si="3"/>
        <v>34</v>
      </c>
      <c r="E42" s="95">
        <f t="shared" si="4"/>
        <v>115.00000000000135</v>
      </c>
      <c r="F42" s="93">
        <f t="shared" si="5"/>
        <v>3.1368340177147727</v>
      </c>
      <c r="G42" s="94">
        <f t="shared" si="6"/>
        <v>116</v>
      </c>
      <c r="H42" s="95">
        <f t="shared" si="7"/>
        <v>28.000000000000806</v>
      </c>
      <c r="I42" s="93">
        <f t="shared" si="8"/>
        <v>-3.1270617271184049</v>
      </c>
      <c r="J42" s="94">
        <f t="shared" si="9"/>
        <v>82</v>
      </c>
      <c r="K42" s="95">
        <f t="shared" si="10"/>
        <v>-86.000000000000497</v>
      </c>
      <c r="L42" s="93">
        <f t="shared" si="11"/>
        <v>3.1274534982447206</v>
      </c>
      <c r="M42" s="94">
        <f t="shared" si="12"/>
        <v>-82</v>
      </c>
      <c r="N42" s="95">
        <f t="shared" si="13"/>
        <v>86.000000000001876</v>
      </c>
      <c r="O42" s="93">
        <f t="shared" si="14"/>
        <v>-3.137014526010244</v>
      </c>
      <c r="P42" s="94">
        <f t="shared" si="15"/>
        <v>-116</v>
      </c>
      <c r="Q42" s="95">
        <f t="shared" si="16"/>
        <v>-28.00000000000043</v>
      </c>
      <c r="R42" s="93">
        <f t="shared" si="17"/>
        <v>-3.1225362766335341</v>
      </c>
      <c r="S42" s="94">
        <f t="shared" si="18"/>
        <v>-34</v>
      </c>
      <c r="T42" s="95">
        <f t="shared" si="19"/>
        <v>-114.9999999999998</v>
      </c>
      <c r="V42" s="73">
        <v>950</v>
      </c>
      <c r="W42" s="76">
        <f t="shared" si="0"/>
        <v>1.5449255746015966</v>
      </c>
    </row>
    <row r="43" spans="2:23" ht="15.75" thickBot="1" x14ac:dyDescent="0.3">
      <c r="B43" s="57">
        <v>0.55000000000000004</v>
      </c>
      <c r="C43" s="87">
        <f t="shared" si="2"/>
        <v>3.123136646762664</v>
      </c>
      <c r="D43" s="88">
        <f t="shared" si="3"/>
        <v>33.907978871822706</v>
      </c>
      <c r="E43" s="89">
        <f t="shared" si="4"/>
        <v>110.12264250078516</v>
      </c>
      <c r="F43" s="90">
        <f t="shared" si="5"/>
        <v>3.1376515376410605</v>
      </c>
      <c r="G43" s="91">
        <f t="shared" si="6"/>
        <v>115.9790756955972</v>
      </c>
      <c r="H43" s="92">
        <f t="shared" si="7"/>
        <v>23.189708200010497</v>
      </c>
      <c r="I43" s="87">
        <f t="shared" si="8"/>
        <v>-3.126244207192117</v>
      </c>
      <c r="J43" s="88">
        <f t="shared" si="9"/>
        <v>82.072284318572201</v>
      </c>
      <c r="K43" s="89">
        <f t="shared" si="10"/>
        <v>-90.838049379077276</v>
      </c>
      <c r="L43" s="90">
        <f t="shared" si="11"/>
        <v>3.1282710181710085</v>
      </c>
      <c r="M43" s="91">
        <f t="shared" si="12"/>
        <v>-82.068274289305009</v>
      </c>
      <c r="N43" s="92">
        <f t="shared" si="13"/>
        <v>81.02781989081214</v>
      </c>
      <c r="O43" s="87">
        <f t="shared" si="14"/>
        <v>-3.1361970060839561</v>
      </c>
      <c r="P43" s="88">
        <f t="shared" si="15"/>
        <v>-115.97506566633001</v>
      </c>
      <c r="Q43" s="89">
        <f t="shared" si="16"/>
        <v>-32.999937688276624</v>
      </c>
      <c r="R43" s="90">
        <f t="shared" si="17"/>
        <v>-3.1217187567072462</v>
      </c>
      <c r="S43" s="91">
        <f t="shared" si="18"/>
        <v>-33.903968842555514</v>
      </c>
      <c r="T43" s="92">
        <f t="shared" si="19"/>
        <v>-119.93287198905013</v>
      </c>
      <c r="V43" s="74">
        <v>1000</v>
      </c>
      <c r="W43" s="80">
        <f t="shared" si="0"/>
        <v>1</v>
      </c>
    </row>
    <row r="44" spans="2:23" x14ac:dyDescent="0.25">
      <c r="B44" s="56">
        <v>0.6</v>
      </c>
      <c r="C44" s="87">
        <f t="shared" si="2"/>
        <v>3.1239541666889514</v>
      </c>
      <c r="D44" s="88">
        <f t="shared" si="3"/>
        <v>33.819945110896697</v>
      </c>
      <c r="E44" s="89">
        <f t="shared" si="4"/>
        <v>105.24521140233767</v>
      </c>
      <c r="F44" s="90">
        <f t="shared" si="5"/>
        <v>3.138469057567348</v>
      </c>
      <c r="G44" s="91">
        <f t="shared" si="6"/>
        <v>115.96208390714673</v>
      </c>
      <c r="H44" s="92">
        <f t="shared" si="7"/>
        <v>18.379400901441215</v>
      </c>
      <c r="I44" s="87">
        <f t="shared" si="8"/>
        <v>-3.1254266872658296</v>
      </c>
      <c r="J44" s="88">
        <f t="shared" si="9"/>
        <v>82.14852381432047</v>
      </c>
      <c r="K44" s="89">
        <f t="shared" si="10"/>
        <v>-95.676038047559146</v>
      </c>
      <c r="L44" s="90">
        <f t="shared" si="11"/>
        <v>3.1290885380972959</v>
      </c>
      <c r="M44" s="91">
        <f t="shared" si="12"/>
        <v>-82.132483699931072</v>
      </c>
      <c r="N44" s="92">
        <f t="shared" si="13"/>
        <v>76.055585627589764</v>
      </c>
      <c r="O44" s="87">
        <f t="shared" si="14"/>
        <v>-3.1353794861576687</v>
      </c>
      <c r="P44" s="88">
        <f t="shared" si="15"/>
        <v>-115.94604379275734</v>
      </c>
      <c r="Q44" s="89">
        <f t="shared" si="16"/>
        <v>-37.999853321411599</v>
      </c>
      <c r="R44" s="90">
        <f t="shared" si="17"/>
        <v>-3.1209012367809588</v>
      </c>
      <c r="S44" s="91">
        <f t="shared" si="18"/>
        <v>-33.80390499650639</v>
      </c>
      <c r="T44" s="92">
        <f t="shared" si="19"/>
        <v>-124.86566382230687</v>
      </c>
      <c r="V44" s="55"/>
      <c r="W44" s="55"/>
    </row>
    <row r="45" spans="2:23" x14ac:dyDescent="0.25">
      <c r="B45" s="57">
        <v>0.65</v>
      </c>
      <c r="C45" s="87">
        <f t="shared" si="2"/>
        <v>3.1247716866152393</v>
      </c>
      <c r="D45" s="88">
        <f t="shared" si="3"/>
        <v>33.735898776055365</v>
      </c>
      <c r="E45" s="89">
        <f t="shared" si="4"/>
        <v>100.36770996443001</v>
      </c>
      <c r="F45" s="90">
        <f t="shared" si="5"/>
        <v>3.1392865774936358</v>
      </c>
      <c r="G45" s="91">
        <f t="shared" si="6"/>
        <v>115.94902464600455</v>
      </c>
      <c r="H45" s="92">
        <f t="shared" si="7"/>
        <v>13.569081319202716</v>
      </c>
      <c r="I45" s="87">
        <f t="shared" si="8"/>
        <v>-3.1246091673395417</v>
      </c>
      <c r="J45" s="88">
        <f t="shared" si="9"/>
        <v>82.228718436292183</v>
      </c>
      <c r="K45" s="89">
        <f t="shared" si="10"/>
        <v>-100.51396277203591</v>
      </c>
      <c r="L45" s="90">
        <f t="shared" si="11"/>
        <v>3.1299060580235838</v>
      </c>
      <c r="M45" s="91">
        <f t="shared" si="12"/>
        <v>-82.1926281889655</v>
      </c>
      <c r="N45" s="92">
        <f t="shared" si="13"/>
        <v>71.083300533466428</v>
      </c>
      <c r="O45" s="87">
        <f t="shared" si="14"/>
        <v>-3.1345619662313808</v>
      </c>
      <c r="P45" s="88">
        <f t="shared" si="15"/>
        <v>-115.91293439867877</v>
      </c>
      <c r="Q45" s="89">
        <f t="shared" si="16"/>
        <v>-42.999743557773193</v>
      </c>
      <c r="R45" s="90">
        <f t="shared" si="17"/>
        <v>-3.1200837168546709</v>
      </c>
      <c r="S45" s="91">
        <f t="shared" si="18"/>
        <v>-33.699808528729591</v>
      </c>
      <c r="T45" s="92">
        <f t="shared" si="19"/>
        <v>-129.79837220299933</v>
      </c>
    </row>
    <row r="46" spans="2:23" x14ac:dyDescent="0.25">
      <c r="B46" s="56">
        <v>0.7</v>
      </c>
      <c r="C46" s="87">
        <f t="shared" si="2"/>
        <v>3.1255892065415267</v>
      </c>
      <c r="D46" s="88">
        <f t="shared" si="3"/>
        <v>33.655839923471831</v>
      </c>
      <c r="E46" s="89">
        <f t="shared" si="4"/>
        <v>95.490141446890902</v>
      </c>
      <c r="F46" s="90">
        <f t="shared" si="5"/>
        <v>3.1401040974199232</v>
      </c>
      <c r="G46" s="91">
        <f t="shared" si="6"/>
        <v>115.93989792089815</v>
      </c>
      <c r="H46" s="92">
        <f t="shared" si="7"/>
        <v>8.7587526682234031</v>
      </c>
      <c r="I46" s="87">
        <f t="shared" si="8"/>
        <v>-3.1237916474132543</v>
      </c>
      <c r="J46" s="88">
        <f t="shared" si="9"/>
        <v>82.312868130887182</v>
      </c>
      <c r="K46" s="89">
        <f t="shared" si="10"/>
        <v>-105.35182031912952</v>
      </c>
      <c r="L46" s="90">
        <f t="shared" si="11"/>
        <v>3.1307235779498712</v>
      </c>
      <c r="M46" s="91">
        <f t="shared" si="12"/>
        <v>-82.248707716210447</v>
      </c>
      <c r="N46" s="92">
        <f t="shared" si="13"/>
        <v>66.110967931618532</v>
      </c>
      <c r="O46" s="87">
        <f t="shared" si="14"/>
        <v>-3.1337444463050934</v>
      </c>
      <c r="P46" s="88">
        <f t="shared" si="15"/>
        <v>-115.87573750622141</v>
      </c>
      <c r="Q46" s="89">
        <f t="shared" si="16"/>
        <v>-47.99960505573538</v>
      </c>
      <c r="R46" s="90">
        <f t="shared" si="17"/>
        <v>-3.1192661969283835</v>
      </c>
      <c r="S46" s="91">
        <f t="shared" si="18"/>
        <v>-33.591679508795096</v>
      </c>
      <c r="T46" s="92">
        <f t="shared" si="19"/>
        <v>-134.73099383440174</v>
      </c>
    </row>
    <row r="47" spans="2:23" x14ac:dyDescent="0.25">
      <c r="B47" s="57">
        <v>0.75</v>
      </c>
      <c r="C47" s="87">
        <f t="shared" si="2"/>
        <v>3.1264067264678146</v>
      </c>
      <c r="D47" s="88">
        <f t="shared" si="3"/>
        <v>33.579768606653488</v>
      </c>
      <c r="E47" s="89">
        <f t="shared" si="4"/>
        <v>90.612509109583314</v>
      </c>
      <c r="F47" s="90">
        <f t="shared" si="5"/>
        <v>3.1409216173462111</v>
      </c>
      <c r="G47" s="91">
        <f t="shared" si="6"/>
        <v>115.93470373792843</v>
      </c>
      <c r="H47" s="92">
        <f t="shared" si="7"/>
        <v>3.9484181634272919</v>
      </c>
      <c r="I47" s="87">
        <f t="shared" si="8"/>
        <v>-3.1229741274869665</v>
      </c>
      <c r="J47" s="88">
        <f t="shared" si="9"/>
        <v>82.40097284186777</v>
      </c>
      <c r="K47" s="89">
        <f t="shared" si="10"/>
        <v>-110.18960745551736</v>
      </c>
      <c r="L47" s="90">
        <f t="shared" si="11"/>
        <v>3.1315410978761591</v>
      </c>
      <c r="M47" s="91">
        <f t="shared" si="12"/>
        <v>-82.300722244185636</v>
      </c>
      <c r="N47" s="92">
        <f t="shared" si="13"/>
        <v>61.13859114524346</v>
      </c>
      <c r="O47" s="87">
        <f t="shared" si="14"/>
        <v>-3.1329269263788055</v>
      </c>
      <c r="P47" s="88">
        <f t="shared" si="15"/>
        <v>-115.8344531402463</v>
      </c>
      <c r="Q47" s="89">
        <f t="shared" si="16"/>
        <v>-52.999434473702188</v>
      </c>
      <c r="R47" s="90">
        <f t="shared" si="17"/>
        <v>-3.1184486770020956</v>
      </c>
      <c r="S47" s="91">
        <f t="shared" si="18"/>
        <v>-33.479518008970444</v>
      </c>
      <c r="T47" s="92">
        <f t="shared" si="19"/>
        <v>-139.66352541985705</v>
      </c>
    </row>
    <row r="48" spans="2:23" x14ac:dyDescent="0.25">
      <c r="B48" s="56">
        <v>0.8</v>
      </c>
      <c r="C48" s="87">
        <f t="shared" si="2"/>
        <v>3.127224246394102</v>
      </c>
      <c r="D48" s="88">
        <f t="shared" si="3"/>
        <v>33.507684876439271</v>
      </c>
      <c r="E48" s="89">
        <f t="shared" si="4"/>
        <v>85.734816212423425</v>
      </c>
      <c r="F48" s="90">
        <f t="shared" si="5"/>
        <v>3.1417391372724985</v>
      </c>
      <c r="G48" s="91">
        <f t="shared" si="6"/>
        <v>115.93344210056603</v>
      </c>
      <c r="H48" s="92">
        <f t="shared" si="7"/>
        <v>-0.86191898024723312</v>
      </c>
      <c r="I48" s="87">
        <f t="shared" si="8"/>
        <v>-3.122156607560679</v>
      </c>
      <c r="J48" s="88">
        <f t="shared" si="9"/>
        <v>82.493032510348712</v>
      </c>
      <c r="K48" s="89">
        <f t="shared" si="10"/>
        <v>-115.02732094791337</v>
      </c>
      <c r="L48" s="90">
        <f t="shared" si="11"/>
        <v>3.1323586178024465</v>
      </c>
      <c r="M48" s="91">
        <f t="shared" si="12"/>
        <v>-82.34867173812745</v>
      </c>
      <c r="N48" s="92">
        <f t="shared" si="13"/>
        <v>56.166173497578889</v>
      </c>
      <c r="O48" s="87">
        <f t="shared" si="14"/>
        <v>-3.1321094064525181</v>
      </c>
      <c r="P48" s="88">
        <f t="shared" si="15"/>
        <v>-115.78908132834567</v>
      </c>
      <c r="Q48" s="89">
        <f t="shared" si="16"/>
        <v>-57.999228470088241</v>
      </c>
      <c r="R48" s="90">
        <f t="shared" si="17"/>
        <v>-3.1176311570758082</v>
      </c>
      <c r="S48" s="91">
        <f t="shared" si="18"/>
        <v>-33.363324104218918</v>
      </c>
      <c r="T48" s="92">
        <f t="shared" si="19"/>
        <v>-144.59596366275773</v>
      </c>
    </row>
    <row r="49" spans="2:20" x14ac:dyDescent="0.25">
      <c r="B49" s="57">
        <v>0.85</v>
      </c>
      <c r="C49" s="87">
        <f t="shared" si="2"/>
        <v>3.1280417663203899</v>
      </c>
      <c r="D49" s="88">
        <f t="shared" si="3"/>
        <v>33.439588781007842</v>
      </c>
      <c r="E49" s="89">
        <f t="shared" si="4"/>
        <v>80.857066015357333</v>
      </c>
      <c r="F49" s="90">
        <f t="shared" si="5"/>
        <v>3.1425566571987864</v>
      </c>
      <c r="G49" s="91">
        <f t="shared" si="6"/>
        <v>115.93611300965404</v>
      </c>
      <c r="H49" s="92">
        <f t="shared" si="7"/>
        <v>-5.6722555478704804</v>
      </c>
      <c r="I49" s="87">
        <f t="shared" si="8"/>
        <v>-3.1213390876343912</v>
      </c>
      <c r="J49" s="88">
        <f t="shared" si="9"/>
        <v>82.589047074802693</v>
      </c>
      <c r="K49" s="89">
        <f t="shared" si="10"/>
        <v>-119.86495756309117</v>
      </c>
      <c r="L49" s="90">
        <f t="shared" si="11"/>
        <v>3.1331761377287344</v>
      </c>
      <c r="M49" s="91">
        <f t="shared" si="12"/>
        <v>-82.392556165991664</v>
      </c>
      <c r="N49" s="92">
        <f t="shared" si="13"/>
        <v>51.193718311879032</v>
      </c>
      <c r="O49" s="87">
        <f t="shared" si="14"/>
        <v>-3.1312918865262303</v>
      </c>
      <c r="P49" s="88">
        <f t="shared" si="15"/>
        <v>-115.7396221008421</v>
      </c>
      <c r="Q49" s="89">
        <f t="shared" si="16"/>
        <v>-62.998983703342667</v>
      </c>
      <c r="R49" s="90">
        <f t="shared" si="17"/>
        <v>-3.1168136371495203</v>
      </c>
      <c r="S49" s="91">
        <f t="shared" si="18"/>
        <v>-33.243097872194994</v>
      </c>
      <c r="T49" s="92">
        <f t="shared" si="19"/>
        <v>-149.5283052665693</v>
      </c>
    </row>
    <row r="50" spans="2:20" x14ac:dyDescent="0.25">
      <c r="B50" s="56">
        <v>0.9</v>
      </c>
      <c r="C50" s="87">
        <f t="shared" si="2"/>
        <v>3.1288592862466773</v>
      </c>
      <c r="D50" s="88">
        <f t="shared" si="3"/>
        <v>33.375480365868498</v>
      </c>
      <c r="E50" s="89">
        <f t="shared" si="4"/>
        <v>75.979261778380007</v>
      </c>
      <c r="F50" s="90">
        <f t="shared" si="5"/>
        <v>3.1433741771250738</v>
      </c>
      <c r="G50" s="91">
        <f t="shared" si="6"/>
        <v>115.94271646340712</v>
      </c>
      <c r="H50" s="92">
        <f t="shared" si="7"/>
        <v>-10.482588324502691</v>
      </c>
      <c r="I50" s="87">
        <f t="shared" si="8"/>
        <v>-3.1205215677081037</v>
      </c>
      <c r="J50" s="88">
        <f t="shared" si="9"/>
        <v>82.689016471061223</v>
      </c>
      <c r="K50" s="89">
        <f t="shared" si="10"/>
        <v>-124.70251406786535</v>
      </c>
      <c r="L50" s="90">
        <f t="shared" si="11"/>
        <v>3.1339936576550218</v>
      </c>
      <c r="M50" s="91">
        <f t="shared" si="12"/>
        <v>-82.432375498446163</v>
      </c>
      <c r="N50" s="92">
        <f t="shared" si="13"/>
        <v>46.22122891143399</v>
      </c>
      <c r="O50" s="87">
        <f t="shared" si="14"/>
        <v>-3.1304743665999428</v>
      </c>
      <c r="P50" s="88">
        <f t="shared" si="15"/>
        <v>-115.68607549079297</v>
      </c>
      <c r="Q50" s="89">
        <f t="shared" si="16"/>
        <v>-67.998696831929678</v>
      </c>
      <c r="R50" s="90">
        <f t="shared" si="17"/>
        <v>-3.1159961172232329</v>
      </c>
      <c r="S50" s="91">
        <f t="shared" si="18"/>
        <v>-33.118839393253438</v>
      </c>
      <c r="T50" s="92">
        <f t="shared" si="19"/>
        <v>-154.46054693481122</v>
      </c>
    </row>
    <row r="51" spans="2:20" x14ac:dyDescent="0.25">
      <c r="B51" s="57">
        <v>0.95</v>
      </c>
      <c r="C51" s="87">
        <f t="shared" si="2"/>
        <v>3.1296768061729652</v>
      </c>
      <c r="D51" s="88">
        <f t="shared" si="3"/>
        <v>33.315359673868443</v>
      </c>
      <c r="E51" s="89">
        <f t="shared" si="4"/>
        <v>71.101406761511953</v>
      </c>
      <c r="F51" s="90">
        <f t="shared" si="5"/>
        <v>3.1441916970513617</v>
      </c>
      <c r="G51" s="91">
        <f t="shared" si="6"/>
        <v>115.95325245741333</v>
      </c>
      <c r="H51" s="92">
        <f t="shared" si="7"/>
        <v>-15.292914095217087</v>
      </c>
      <c r="I51" s="87">
        <f t="shared" si="8"/>
        <v>-3.1197040477818159</v>
      </c>
      <c r="J51" s="88">
        <f t="shared" si="9"/>
        <v>82.792940632308273</v>
      </c>
      <c r="K51" s="89">
        <f t="shared" si="10"/>
        <v>-129.53998722911447</v>
      </c>
      <c r="L51" s="90">
        <f t="shared" si="11"/>
        <v>3.1348111775813097</v>
      </c>
      <c r="M51" s="91">
        <f t="shared" si="12"/>
        <v>-82.468129708878223</v>
      </c>
      <c r="N51" s="92">
        <f t="shared" si="13"/>
        <v>41.248708619545916</v>
      </c>
      <c r="O51" s="87">
        <f t="shared" si="14"/>
        <v>-3.129656846673655</v>
      </c>
      <c r="P51" s="88">
        <f t="shared" si="15"/>
        <v>-115.62844153398328</v>
      </c>
      <c r="Q51" s="89">
        <f t="shared" si="16"/>
        <v>-72.99836451435246</v>
      </c>
      <c r="R51" s="90">
        <f t="shared" si="17"/>
        <v>-3.115178597296945</v>
      </c>
      <c r="S51" s="91">
        <f t="shared" si="18"/>
        <v>-32.990548750438393</v>
      </c>
      <c r="T51" s="92">
        <f t="shared" si="19"/>
        <v>-159.39268537108035</v>
      </c>
    </row>
    <row r="52" spans="2:20" ht="15.75" thickBot="1" x14ac:dyDescent="0.3">
      <c r="B52" s="66">
        <v>1</v>
      </c>
      <c r="C52" s="96">
        <f t="shared" si="2"/>
        <v>3.1304943260992526</v>
      </c>
      <c r="D52" s="97">
        <f t="shared" si="3"/>
        <v>33.259226745188244</v>
      </c>
      <c r="E52" s="98">
        <f t="shared" si="4"/>
        <v>66.223504224818214</v>
      </c>
      <c r="F52" s="99">
        <f t="shared" si="5"/>
        <v>3.1450092169776491</v>
      </c>
      <c r="G52" s="100">
        <f t="shared" si="6"/>
        <v>115.96772098462952</v>
      </c>
      <c r="H52" s="101">
        <f t="shared" si="7"/>
        <v>-20.103229645081129</v>
      </c>
      <c r="I52" s="96">
        <f t="shared" si="8"/>
        <v>-3.1188865278555284</v>
      </c>
      <c r="J52" s="97">
        <f t="shared" si="9"/>
        <v>82.900819489089372</v>
      </c>
      <c r="K52" s="98">
        <f t="shared" si="10"/>
        <v>-134.37737381376229</v>
      </c>
      <c r="L52" s="99">
        <f t="shared" si="11"/>
        <v>3.1356286975075971</v>
      </c>
      <c r="M52" s="100">
        <f t="shared" si="12"/>
        <v>-82.49981877339269</v>
      </c>
      <c r="N52" s="101">
        <f t="shared" si="13"/>
        <v>36.276160759548432</v>
      </c>
      <c r="O52" s="96">
        <f t="shared" si="14"/>
        <v>-3.1288393267473675</v>
      </c>
      <c r="P52" s="97">
        <f t="shared" si="15"/>
        <v>-115.56672026893375</v>
      </c>
      <c r="Q52" s="98">
        <f t="shared" si="16"/>
        <v>-77.997983409133724</v>
      </c>
      <c r="R52" s="99">
        <f t="shared" si="17"/>
        <v>-3.1143610773706576</v>
      </c>
      <c r="S52" s="100">
        <f t="shared" si="18"/>
        <v>-32.858226029492471</v>
      </c>
      <c r="T52" s="101">
        <f t="shared" si="19"/>
        <v>-164.32471727903192</v>
      </c>
    </row>
  </sheetData>
  <mergeCells count="49">
    <mergeCell ref="B15:D15"/>
    <mergeCell ref="G12:M12"/>
    <mergeCell ref="B17:D17"/>
    <mergeCell ref="B18:D18"/>
    <mergeCell ref="B2:C2"/>
    <mergeCell ref="B3:C3"/>
    <mergeCell ref="D2:E2"/>
    <mergeCell ref="D3:E3"/>
    <mergeCell ref="B12:D12"/>
    <mergeCell ref="E12:F12"/>
    <mergeCell ref="B5:M5"/>
    <mergeCell ref="B11:M11"/>
    <mergeCell ref="J6:K6"/>
    <mergeCell ref="L6:M6"/>
    <mergeCell ref="B6:C6"/>
    <mergeCell ref="D6:E6"/>
    <mergeCell ref="F6:G6"/>
    <mergeCell ref="R30:T30"/>
    <mergeCell ref="H6:I6"/>
    <mergeCell ref="G25:M25"/>
    <mergeCell ref="B26:D26"/>
    <mergeCell ref="G26:M26"/>
    <mergeCell ref="G13:M18"/>
    <mergeCell ref="E18:F18"/>
    <mergeCell ref="E17:F17"/>
    <mergeCell ref="E16:F16"/>
    <mergeCell ref="E15:F15"/>
    <mergeCell ref="E14:F14"/>
    <mergeCell ref="B24:D24"/>
    <mergeCell ref="E13:F13"/>
    <mergeCell ref="B25:D25"/>
    <mergeCell ref="B13:D13"/>
    <mergeCell ref="B14:D14"/>
    <mergeCell ref="E25:F25"/>
    <mergeCell ref="B16:D16"/>
    <mergeCell ref="V2:W2"/>
    <mergeCell ref="B30:B31"/>
    <mergeCell ref="G19:M24"/>
    <mergeCell ref="B29:T29"/>
    <mergeCell ref="B19:D19"/>
    <mergeCell ref="B20:D20"/>
    <mergeCell ref="B21:D21"/>
    <mergeCell ref="B22:D22"/>
    <mergeCell ref="B23:D23"/>
    <mergeCell ref="F30:H30"/>
    <mergeCell ref="C30:E30"/>
    <mergeCell ref="I30:K30"/>
    <mergeCell ref="L30:N30"/>
    <mergeCell ref="O30:Q30"/>
  </mergeCells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 r:id="rId1"/>
  <headerFooter>
    <oddHeader>&amp;C&amp;"Times New Roman,Обычный"&amp;12&amp;A</oddHeader>
    <oddFooter>&amp;C&amp;"Times New Roman,Обычный"&amp;12Страница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X39"/>
  <sheetViews>
    <sheetView workbookViewId="0">
      <selection activeCell="D4" sqref="D4:E4"/>
    </sheetView>
  </sheetViews>
  <sheetFormatPr defaultRowHeight="15" x14ac:dyDescent="0.25"/>
  <cols>
    <col min="1" max="1" width="3" style="107" customWidth="1"/>
    <col min="2" max="2" width="21.7109375" style="107" customWidth="1"/>
    <col min="3" max="3" width="9.140625" style="107"/>
    <col min="4" max="4" width="10.5703125" style="107" customWidth="1"/>
    <col min="5" max="5" width="12" style="107" bestFit="1" customWidth="1"/>
    <col min="6" max="6" width="2.85546875" style="107" customWidth="1"/>
    <col min="7" max="16384" width="9.140625" style="107"/>
  </cols>
  <sheetData>
    <row r="1" spans="2:24" ht="15.75" thickBot="1" x14ac:dyDescent="0.3"/>
    <row r="2" spans="2:24" ht="15.75" thickBot="1" x14ac:dyDescent="0.3">
      <c r="B2" s="126" t="s">
        <v>78</v>
      </c>
      <c r="C2" s="125">
        <v>0</v>
      </c>
      <c r="D2" s="125">
        <v>-85</v>
      </c>
      <c r="E2" s="124">
        <v>0</v>
      </c>
      <c r="G2" s="196" t="s">
        <v>79</v>
      </c>
      <c r="H2" s="197"/>
      <c r="I2" s="198"/>
      <c r="J2" s="196" t="s">
        <v>80</v>
      </c>
      <c r="K2" s="197"/>
      <c r="L2" s="198"/>
      <c r="M2" s="196" t="s">
        <v>81</v>
      </c>
      <c r="N2" s="197"/>
      <c r="O2" s="198"/>
      <c r="P2" s="196" t="s">
        <v>82</v>
      </c>
      <c r="Q2" s="197"/>
      <c r="R2" s="198"/>
      <c r="S2" s="196" t="s">
        <v>83</v>
      </c>
      <c r="T2" s="197"/>
      <c r="U2" s="198"/>
      <c r="V2" s="196" t="s">
        <v>84</v>
      </c>
      <c r="W2" s="197"/>
      <c r="X2" s="198"/>
    </row>
    <row r="3" spans="2:24" x14ac:dyDescent="0.25">
      <c r="B3" s="115" t="s">
        <v>85</v>
      </c>
      <c r="C3" s="114">
        <v>0</v>
      </c>
      <c r="D3" s="114">
        <v>1</v>
      </c>
      <c r="E3" s="113">
        <v>0</v>
      </c>
      <c r="G3" s="123">
        <v>-50</v>
      </c>
      <c r="H3" s="122">
        <v>0</v>
      </c>
      <c r="I3" s="121">
        <v>-30</v>
      </c>
      <c r="J3" s="123">
        <v>-50</v>
      </c>
      <c r="K3" s="122">
        <v>0</v>
      </c>
      <c r="L3" s="121">
        <v>0</v>
      </c>
      <c r="M3" s="123">
        <v>-50</v>
      </c>
      <c r="N3" s="122">
        <v>0</v>
      </c>
      <c r="O3" s="121">
        <v>30</v>
      </c>
      <c r="P3" s="123">
        <v>50</v>
      </c>
      <c r="Q3" s="122">
        <v>0</v>
      </c>
      <c r="R3" s="121">
        <v>-30</v>
      </c>
      <c r="S3" s="123">
        <v>50</v>
      </c>
      <c r="T3" s="122">
        <v>0</v>
      </c>
      <c r="U3" s="121">
        <v>0</v>
      </c>
      <c r="V3" s="123">
        <v>50</v>
      </c>
      <c r="W3" s="122">
        <v>0</v>
      </c>
      <c r="X3" s="121">
        <v>30</v>
      </c>
    </row>
    <row r="4" spans="2:24" ht="15.75" thickBot="1" x14ac:dyDescent="0.3">
      <c r="B4" s="117" t="s">
        <v>86</v>
      </c>
      <c r="C4" s="116">
        <v>0</v>
      </c>
      <c r="D4" s="199">
        <v>0</v>
      </c>
      <c r="E4" s="200"/>
      <c r="G4" s="120">
        <v>-50</v>
      </c>
      <c r="H4" s="119">
        <f>(-$E$7 * ($I$4 - $E$2) - $C$7 * ($G$4 - $C$2) ) / $D$7 + $D$2</f>
        <v>-85</v>
      </c>
      <c r="I4" s="118">
        <v>-30</v>
      </c>
      <c r="J4" s="120">
        <v>-50</v>
      </c>
      <c r="K4" s="119">
        <f>(-$E$7 * ($L$4 - $E$2) - $C$7 * ($J$4 - $C$2) ) / $D$7 + $D$2</f>
        <v>-85</v>
      </c>
      <c r="L4" s="118">
        <v>0</v>
      </c>
      <c r="M4" s="120">
        <v>-50</v>
      </c>
      <c r="N4" s="119">
        <f>(-$E$7 * ($O$4 - $E$2) - $C$7 * ($M$4 - $C$2) ) / $D$7 + $D$2</f>
        <v>-85</v>
      </c>
      <c r="O4" s="118">
        <v>30</v>
      </c>
      <c r="P4" s="120">
        <v>50</v>
      </c>
      <c r="Q4" s="119">
        <f>(-$E$7 * (R4 - $E$2) - $C$7 * (P4 - $C$2) ) / $D$7 + $D$2</f>
        <v>-85</v>
      </c>
      <c r="R4" s="118">
        <v>-30</v>
      </c>
      <c r="S4" s="120">
        <v>50</v>
      </c>
      <c r="T4" s="119">
        <f>(-$E$7 * (U4 - $E$2) - $C$7 * (S4 - $C$2) ) / $D$7 + $D$2</f>
        <v>-85</v>
      </c>
      <c r="U4" s="118">
        <v>0</v>
      </c>
      <c r="V4" s="120">
        <v>50</v>
      </c>
      <c r="W4" s="119">
        <f>(-$E$7 * (X4 - $E$2) - $C$7 * (V4 - $C$2) ) / $D$7 + $D$2</f>
        <v>-85</v>
      </c>
      <c r="X4" s="118">
        <v>30</v>
      </c>
    </row>
    <row r="5" spans="2:24" x14ac:dyDescent="0.25">
      <c r="B5" s="117" t="s">
        <v>87</v>
      </c>
      <c r="C5" s="116">
        <v>0</v>
      </c>
      <c r="D5" s="199">
        <v>0</v>
      </c>
      <c r="E5" s="200"/>
      <c r="I5" s="108"/>
      <c r="L5" s="108"/>
      <c r="O5" s="108"/>
    </row>
    <row r="6" spans="2:24" x14ac:dyDescent="0.25">
      <c r="B6" s="115" t="s">
        <v>88</v>
      </c>
      <c r="C6" s="114">
        <f>C3</f>
        <v>0</v>
      </c>
      <c r="D6" s="114">
        <f>D3 * COS(D4) - E3 * SIN(D4)</f>
        <v>1</v>
      </c>
      <c r="E6" s="113">
        <f>D3 * SIN(D4) + E3 * COS(D4)</f>
        <v>0</v>
      </c>
      <c r="I6" s="108"/>
      <c r="L6" s="108"/>
      <c r="O6" s="108"/>
    </row>
    <row r="7" spans="2:24" ht="15.75" thickBot="1" x14ac:dyDescent="0.3">
      <c r="B7" s="112" t="s">
        <v>89</v>
      </c>
      <c r="C7" s="111">
        <f>C6 * COS(D5) - D6 * SIN(D5)</f>
        <v>0</v>
      </c>
      <c r="D7" s="111">
        <f>C6 * SIN(D5) + D6 * COS(D5)</f>
        <v>1</v>
      </c>
      <c r="E7" s="110">
        <f>E6</f>
        <v>0</v>
      </c>
    </row>
    <row r="8" spans="2:24" x14ac:dyDescent="0.25">
      <c r="C8" s="109"/>
      <c r="D8" s="109"/>
      <c r="E8" s="108"/>
    </row>
    <row r="9" spans="2:24" x14ac:dyDescent="0.25">
      <c r="C9" s="108"/>
      <c r="D9" s="108"/>
      <c r="E9" s="108"/>
    </row>
    <row r="10" spans="2:24" x14ac:dyDescent="0.25">
      <c r="C10" s="108"/>
      <c r="D10" s="108"/>
      <c r="E10" s="108"/>
    </row>
    <row r="11" spans="2:24" x14ac:dyDescent="0.25">
      <c r="C11" s="108"/>
      <c r="D11" s="108"/>
      <c r="E11" s="108"/>
    </row>
    <row r="12" spans="2:24" x14ac:dyDescent="0.25">
      <c r="C12" s="108"/>
      <c r="D12" s="108"/>
      <c r="E12" s="108"/>
    </row>
    <row r="13" spans="2:24" x14ac:dyDescent="0.25">
      <c r="C13" s="108"/>
      <c r="D13" s="108"/>
      <c r="E13" s="108"/>
    </row>
    <row r="14" spans="2:24" x14ac:dyDescent="0.25">
      <c r="C14" s="108"/>
      <c r="D14" s="108"/>
      <c r="E14" s="108"/>
    </row>
    <row r="15" spans="2:24" x14ac:dyDescent="0.25">
      <c r="C15" s="108"/>
      <c r="D15" s="108"/>
      <c r="E15" s="108"/>
    </row>
    <row r="16" spans="2:24" x14ac:dyDescent="0.25">
      <c r="C16" s="108"/>
      <c r="D16" s="108"/>
      <c r="E16" s="108"/>
    </row>
    <row r="17" spans="3:5" x14ac:dyDescent="0.25">
      <c r="C17" s="108"/>
      <c r="D17" s="108"/>
      <c r="E17" s="108"/>
    </row>
    <row r="18" spans="3:5" x14ac:dyDescent="0.25">
      <c r="C18" s="108"/>
      <c r="D18" s="108"/>
      <c r="E18" s="108"/>
    </row>
    <row r="19" spans="3:5" x14ac:dyDescent="0.25">
      <c r="C19" s="108"/>
      <c r="D19" s="108"/>
      <c r="E19" s="108"/>
    </row>
    <row r="20" spans="3:5" x14ac:dyDescent="0.25">
      <c r="C20" s="108"/>
      <c r="D20" s="108"/>
      <c r="E20" s="108"/>
    </row>
    <row r="21" spans="3:5" x14ac:dyDescent="0.25">
      <c r="C21" s="108"/>
      <c r="D21" s="108"/>
      <c r="E21" s="108"/>
    </row>
    <row r="22" spans="3:5" x14ac:dyDescent="0.25">
      <c r="C22" s="108"/>
      <c r="D22" s="108"/>
      <c r="E22" s="108"/>
    </row>
    <row r="23" spans="3:5" x14ac:dyDescent="0.25">
      <c r="C23" s="108"/>
      <c r="D23" s="108"/>
      <c r="E23" s="108"/>
    </row>
    <row r="24" spans="3:5" x14ac:dyDescent="0.25">
      <c r="C24" s="108"/>
      <c r="D24" s="108"/>
      <c r="E24" s="108"/>
    </row>
    <row r="25" spans="3:5" x14ac:dyDescent="0.25">
      <c r="C25" s="108"/>
      <c r="D25" s="108"/>
      <c r="E25" s="108"/>
    </row>
    <row r="26" spans="3:5" x14ac:dyDescent="0.25">
      <c r="C26" s="108"/>
      <c r="D26" s="108"/>
      <c r="E26" s="108"/>
    </row>
    <row r="27" spans="3:5" x14ac:dyDescent="0.25">
      <c r="C27" s="108"/>
      <c r="D27" s="108"/>
      <c r="E27" s="108"/>
    </row>
    <row r="28" spans="3:5" x14ac:dyDescent="0.25">
      <c r="C28" s="108"/>
      <c r="D28" s="108"/>
      <c r="E28" s="108"/>
    </row>
    <row r="29" spans="3:5" x14ac:dyDescent="0.25">
      <c r="C29" s="108"/>
      <c r="D29" s="108"/>
      <c r="E29" s="108"/>
    </row>
    <row r="30" spans="3:5" x14ac:dyDescent="0.25">
      <c r="C30" s="108"/>
      <c r="D30" s="108"/>
      <c r="E30" s="108"/>
    </row>
    <row r="31" spans="3:5" x14ac:dyDescent="0.25">
      <c r="C31" s="108"/>
      <c r="D31" s="108"/>
      <c r="E31" s="108"/>
    </row>
    <row r="32" spans="3:5" x14ac:dyDescent="0.25">
      <c r="C32" s="108"/>
      <c r="D32" s="108"/>
      <c r="E32" s="108"/>
    </row>
    <row r="33" spans="3:5" x14ac:dyDescent="0.25">
      <c r="C33" s="108"/>
      <c r="D33" s="108"/>
      <c r="E33" s="108"/>
    </row>
    <row r="34" spans="3:5" x14ac:dyDescent="0.25">
      <c r="C34" s="108"/>
      <c r="D34" s="108"/>
      <c r="E34" s="108"/>
    </row>
    <row r="35" spans="3:5" x14ac:dyDescent="0.25">
      <c r="C35" s="108"/>
      <c r="D35" s="108"/>
      <c r="E35" s="108"/>
    </row>
    <row r="36" spans="3:5" x14ac:dyDescent="0.25">
      <c r="C36" s="108"/>
      <c r="D36" s="108"/>
      <c r="E36" s="108"/>
    </row>
    <row r="37" spans="3:5" x14ac:dyDescent="0.25">
      <c r="C37" s="108"/>
      <c r="D37" s="108"/>
      <c r="E37" s="108"/>
    </row>
    <row r="38" spans="3:5" x14ac:dyDescent="0.25">
      <c r="C38" s="108"/>
      <c r="D38" s="108"/>
      <c r="E38" s="108"/>
    </row>
    <row r="39" spans="3:5" x14ac:dyDescent="0.25">
      <c r="D39" s="108"/>
    </row>
  </sheetData>
  <mergeCells count="8">
    <mergeCell ref="P2:R2"/>
    <mergeCell ref="S2:U2"/>
    <mergeCell ref="V2:X2"/>
    <mergeCell ref="D4:E4"/>
    <mergeCell ref="D5:E5"/>
    <mergeCell ref="G2:I2"/>
    <mergeCell ref="J2:L2"/>
    <mergeCell ref="M2:O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D38"/>
  <sheetViews>
    <sheetView workbookViewId="0">
      <selection activeCell="B3" sqref="B3"/>
    </sheetView>
  </sheetViews>
  <sheetFormatPr defaultRowHeight="15" x14ac:dyDescent="0.25"/>
  <cols>
    <col min="2" max="2" width="10.28515625" bestFit="1" customWidth="1"/>
    <col min="3" max="3" width="13.42578125" customWidth="1"/>
    <col min="4" max="4" width="10.5703125" bestFit="1" customWidth="1"/>
  </cols>
  <sheetData>
    <row r="2" spans="1:4" x14ac:dyDescent="0.25">
      <c r="A2" s="50" t="s">
        <v>69</v>
      </c>
      <c r="B2" s="49">
        <f>170/2000</f>
        <v>8.5000000000000006E-2</v>
      </c>
      <c r="D2" s="49"/>
    </row>
    <row r="3" spans="1:4" x14ac:dyDescent="0.25">
      <c r="A3">
        <v>-85</v>
      </c>
      <c r="B3" s="67">
        <f>A3/$B$2</f>
        <v>-999.99999999999989</v>
      </c>
      <c r="C3" s="67"/>
      <c r="D3" s="68"/>
    </row>
    <row r="4" spans="1:4" x14ac:dyDescent="0.25">
      <c r="A4">
        <v>-80</v>
      </c>
      <c r="B4" s="67">
        <f t="shared" ref="B4:B38" si="0">A4/$B$2</f>
        <v>-941.17647058823525</v>
      </c>
      <c r="C4" s="67"/>
      <c r="D4" s="68"/>
    </row>
    <row r="5" spans="1:4" x14ac:dyDescent="0.25">
      <c r="A5">
        <v>-75</v>
      </c>
      <c r="B5" s="67">
        <f t="shared" si="0"/>
        <v>-882.35294117647049</v>
      </c>
      <c r="C5" s="67"/>
      <c r="D5" s="68"/>
    </row>
    <row r="6" spans="1:4" x14ac:dyDescent="0.25">
      <c r="A6">
        <v>-70</v>
      </c>
      <c r="B6" s="67">
        <f t="shared" si="0"/>
        <v>-823.52941176470586</v>
      </c>
      <c r="C6" s="67"/>
      <c r="D6" s="68"/>
    </row>
    <row r="7" spans="1:4" x14ac:dyDescent="0.25">
      <c r="A7">
        <v>-65</v>
      </c>
      <c r="B7" s="67">
        <f t="shared" si="0"/>
        <v>-764.7058823529411</v>
      </c>
      <c r="C7" s="67"/>
      <c r="D7" s="68"/>
    </row>
    <row r="8" spans="1:4" x14ac:dyDescent="0.25">
      <c r="A8">
        <v>-60</v>
      </c>
      <c r="B8" s="67">
        <f t="shared" si="0"/>
        <v>-705.88235294117646</v>
      </c>
      <c r="C8" s="67"/>
      <c r="D8" s="68"/>
    </row>
    <row r="9" spans="1:4" x14ac:dyDescent="0.25">
      <c r="A9">
        <v>-55</v>
      </c>
      <c r="B9" s="67">
        <f t="shared" si="0"/>
        <v>-647.05882352941171</v>
      </c>
      <c r="C9" s="67"/>
      <c r="D9" s="68"/>
    </row>
    <row r="10" spans="1:4" x14ac:dyDescent="0.25">
      <c r="A10">
        <v>-50</v>
      </c>
      <c r="B10" s="67">
        <f t="shared" si="0"/>
        <v>-588.23529411764707</v>
      </c>
      <c r="C10" s="67"/>
      <c r="D10" s="68"/>
    </row>
    <row r="11" spans="1:4" x14ac:dyDescent="0.25">
      <c r="A11">
        <v>-45</v>
      </c>
      <c r="B11" s="67">
        <f t="shared" si="0"/>
        <v>-529.41176470588232</v>
      </c>
      <c r="C11" s="67"/>
      <c r="D11" s="68"/>
    </row>
    <row r="12" spans="1:4" x14ac:dyDescent="0.25">
      <c r="A12">
        <v>-40</v>
      </c>
      <c r="B12" s="67">
        <f t="shared" si="0"/>
        <v>-470.58823529411762</v>
      </c>
      <c r="C12" s="67"/>
      <c r="D12" s="68"/>
    </row>
    <row r="13" spans="1:4" x14ac:dyDescent="0.25">
      <c r="A13">
        <v>-35</v>
      </c>
      <c r="B13" s="67">
        <f t="shared" si="0"/>
        <v>-411.76470588235293</v>
      </c>
      <c r="C13" s="67"/>
      <c r="D13" s="68"/>
    </row>
    <row r="14" spans="1:4" x14ac:dyDescent="0.25">
      <c r="A14">
        <v>-30</v>
      </c>
      <c r="B14" s="67">
        <f t="shared" si="0"/>
        <v>-352.94117647058823</v>
      </c>
      <c r="C14" s="67"/>
      <c r="D14" s="68"/>
    </row>
    <row r="15" spans="1:4" x14ac:dyDescent="0.25">
      <c r="A15">
        <v>-25</v>
      </c>
      <c r="B15" s="67">
        <f t="shared" si="0"/>
        <v>-294.11764705882354</v>
      </c>
      <c r="C15" s="67"/>
      <c r="D15" s="68"/>
    </row>
    <row r="16" spans="1:4" x14ac:dyDescent="0.25">
      <c r="A16">
        <v>-20</v>
      </c>
      <c r="B16" s="67">
        <f t="shared" si="0"/>
        <v>-235.29411764705881</v>
      </c>
      <c r="C16" s="67"/>
      <c r="D16" s="68"/>
    </row>
    <row r="17" spans="1:4" x14ac:dyDescent="0.25">
      <c r="A17">
        <v>-15</v>
      </c>
      <c r="B17" s="67">
        <f t="shared" si="0"/>
        <v>-176.47058823529412</v>
      </c>
      <c r="C17" s="67"/>
      <c r="D17" s="68"/>
    </row>
    <row r="18" spans="1:4" x14ac:dyDescent="0.25">
      <c r="A18">
        <v>-10</v>
      </c>
      <c r="B18" s="67">
        <f t="shared" si="0"/>
        <v>-117.64705882352941</v>
      </c>
      <c r="C18" s="67"/>
      <c r="D18" s="68"/>
    </row>
    <row r="19" spans="1:4" x14ac:dyDescent="0.25">
      <c r="A19">
        <v>-5</v>
      </c>
      <c r="B19" s="67">
        <f t="shared" si="0"/>
        <v>-58.823529411764703</v>
      </c>
      <c r="C19" s="67"/>
      <c r="D19" s="68"/>
    </row>
    <row r="20" spans="1:4" x14ac:dyDescent="0.25">
      <c r="A20">
        <v>-1</v>
      </c>
      <c r="B20" s="67">
        <f t="shared" si="0"/>
        <v>-11.76470588235294</v>
      </c>
      <c r="C20" s="67"/>
      <c r="D20" s="68"/>
    </row>
    <row r="21" spans="1:4" x14ac:dyDescent="0.25">
      <c r="A21">
        <v>1</v>
      </c>
      <c r="B21" s="67">
        <f t="shared" si="0"/>
        <v>11.76470588235294</v>
      </c>
      <c r="C21" s="67"/>
      <c r="D21" s="68"/>
    </row>
    <row r="22" spans="1:4" x14ac:dyDescent="0.25">
      <c r="A22">
        <v>5</v>
      </c>
      <c r="B22" s="67">
        <f t="shared" si="0"/>
        <v>58.823529411764703</v>
      </c>
      <c r="C22" s="67"/>
      <c r="D22" s="68"/>
    </row>
    <row r="23" spans="1:4" x14ac:dyDescent="0.25">
      <c r="A23">
        <v>10</v>
      </c>
      <c r="B23" s="67">
        <f t="shared" si="0"/>
        <v>117.64705882352941</v>
      </c>
      <c r="C23" s="67"/>
      <c r="D23" s="68"/>
    </row>
    <row r="24" spans="1:4" x14ac:dyDescent="0.25">
      <c r="A24">
        <v>15</v>
      </c>
      <c r="B24" s="67">
        <f t="shared" si="0"/>
        <v>176.47058823529412</v>
      </c>
      <c r="C24" s="67"/>
      <c r="D24" s="68"/>
    </row>
    <row r="25" spans="1:4" x14ac:dyDescent="0.25">
      <c r="A25">
        <v>20</v>
      </c>
      <c r="B25" s="67">
        <f t="shared" si="0"/>
        <v>235.29411764705881</v>
      </c>
      <c r="C25" s="67"/>
      <c r="D25" s="68"/>
    </row>
    <row r="26" spans="1:4" x14ac:dyDescent="0.25">
      <c r="A26">
        <v>25</v>
      </c>
      <c r="B26" s="67">
        <f t="shared" si="0"/>
        <v>294.11764705882354</v>
      </c>
      <c r="C26" s="67"/>
      <c r="D26" s="68"/>
    </row>
    <row r="27" spans="1:4" x14ac:dyDescent="0.25">
      <c r="A27">
        <v>30</v>
      </c>
      <c r="B27" s="67">
        <f t="shared" si="0"/>
        <v>352.94117647058823</v>
      </c>
      <c r="C27" s="67"/>
      <c r="D27" s="68"/>
    </row>
    <row r="28" spans="1:4" x14ac:dyDescent="0.25">
      <c r="A28">
        <v>35</v>
      </c>
      <c r="B28" s="67">
        <f t="shared" si="0"/>
        <v>411.76470588235293</v>
      </c>
      <c r="C28" s="67"/>
      <c r="D28" s="68"/>
    </row>
    <row r="29" spans="1:4" x14ac:dyDescent="0.25">
      <c r="A29">
        <v>40</v>
      </c>
      <c r="B29" s="67">
        <f t="shared" si="0"/>
        <v>470.58823529411762</v>
      </c>
      <c r="C29" s="67"/>
      <c r="D29" s="68"/>
    </row>
    <row r="30" spans="1:4" x14ac:dyDescent="0.25">
      <c r="A30">
        <v>45</v>
      </c>
      <c r="B30" s="67">
        <f t="shared" si="0"/>
        <v>529.41176470588232</v>
      </c>
      <c r="C30" s="67"/>
      <c r="D30" s="68"/>
    </row>
    <row r="31" spans="1:4" x14ac:dyDescent="0.25">
      <c r="A31">
        <v>50</v>
      </c>
      <c r="B31" s="67">
        <f t="shared" si="0"/>
        <v>588.23529411764707</v>
      </c>
      <c r="C31" s="67"/>
      <c r="D31" s="68"/>
    </row>
    <row r="32" spans="1:4" x14ac:dyDescent="0.25">
      <c r="A32">
        <v>55</v>
      </c>
      <c r="B32" s="67">
        <f t="shared" si="0"/>
        <v>647.05882352941171</v>
      </c>
      <c r="C32" s="67"/>
      <c r="D32" s="68"/>
    </row>
    <row r="33" spans="1:4" x14ac:dyDescent="0.25">
      <c r="A33">
        <v>60</v>
      </c>
      <c r="B33" s="67">
        <f t="shared" si="0"/>
        <v>705.88235294117646</v>
      </c>
      <c r="C33" s="67"/>
      <c r="D33" s="68"/>
    </row>
    <row r="34" spans="1:4" x14ac:dyDescent="0.25">
      <c r="A34">
        <v>65</v>
      </c>
      <c r="B34" s="67">
        <f t="shared" si="0"/>
        <v>764.7058823529411</v>
      </c>
      <c r="C34" s="67"/>
      <c r="D34" s="68"/>
    </row>
    <row r="35" spans="1:4" x14ac:dyDescent="0.25">
      <c r="A35">
        <v>70</v>
      </c>
      <c r="B35" s="67">
        <f t="shared" si="0"/>
        <v>823.52941176470586</v>
      </c>
      <c r="C35" s="67"/>
      <c r="D35" s="68"/>
    </row>
    <row r="36" spans="1:4" x14ac:dyDescent="0.25">
      <c r="A36">
        <v>75</v>
      </c>
      <c r="B36" s="67">
        <f t="shared" si="0"/>
        <v>882.35294117647049</v>
      </c>
      <c r="C36" s="67"/>
      <c r="D36" s="68"/>
    </row>
    <row r="37" spans="1:4" x14ac:dyDescent="0.25">
      <c r="A37">
        <v>80</v>
      </c>
      <c r="B37" s="67">
        <f t="shared" si="0"/>
        <v>941.17647058823525</v>
      </c>
      <c r="C37" s="67"/>
      <c r="D37" s="68"/>
    </row>
    <row r="38" spans="1:4" x14ac:dyDescent="0.25">
      <c r="A38">
        <v>85</v>
      </c>
      <c r="B38" s="67">
        <f t="shared" si="0"/>
        <v>999.99999999999989</v>
      </c>
      <c r="C38" s="67"/>
      <c r="D38" s="6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Inverse kinematic</vt:lpstr>
      <vt:lpstr>Advance trajectory</vt:lpstr>
      <vt:lpstr>Stabilization</vt:lpstr>
      <vt:lpstr>Joystick smooth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NeoProg</cp:lastModifiedBy>
  <cp:revision>8</cp:revision>
  <dcterms:created xsi:type="dcterms:W3CDTF">2006-09-16T00:00:00Z</dcterms:created>
  <dcterms:modified xsi:type="dcterms:W3CDTF">2025-04-08T11:48:27Z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